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Segment_Revenue" sheetId="2" state="visible" r:id="rId4"/>
    <sheet name="Working_Capital" sheetId="3" state="visible" r:id="rId5"/>
    <sheet name="Capex" sheetId="4" state="visible" r:id="rId6"/>
    <sheet name="WACC" sheetId="5" state="visible" r:id="rId7"/>
    <sheet name="DCF" sheetId="6" state="visible" r:id="rId8"/>
    <sheet name="Scenarios" sheetId="7" state="visible" r:id="rId9"/>
    <sheet name="Sensitivity" sheetId="8" state="visible" r:id="rId10"/>
    <sheet name="Comps" sheetId="9" state="visible" r:id="rId11"/>
  </sheets>
  <definedNames>
    <definedName function="false" hidden="false" name="BaseYear" vbProcedure="false">Assumptions!$C$10</definedName>
    <definedName function="false" hidden="false" name="Change_NWC" vbProcedure="false">Working_Capital!$C$23:$H$23</definedName>
    <definedName function="false" hidden="false" name="COGS_Pct" vbProcedure="false">Assumptions!$C$40:$H$40</definedName>
    <definedName function="false" hidden="false" name="CompanyName" vbProcedure="false">Assumptions!$C$7</definedName>
    <definedName function="false" hidden="false" name="DaysPerYear" vbProcedure="false">Assumptions!$C$44</definedName>
    <definedName function="false" hidden="false" name="DIO_Days" vbProcedure="false">Assumptions!$C$42:$H$42</definedName>
    <definedName function="false" hidden="false" name="DPO_Days" vbProcedure="false">Assumptions!$C$43:$H$43</definedName>
    <definedName function="false" hidden="false" name="DSO_Days" vbProcedure="false">Assumptions!$C$41:$H$41</definedName>
    <definedName function="false" hidden="false" name="FY_Labels" vbProcedure="false">Segment_Revenue!$C$4:$H$4</definedName>
    <definedName function="false" hidden="false" name="Growth_Capex" vbProcedure="false">Capex!$C$36:$H$36</definedName>
    <definedName function="false" hidden="false" name="MaintCapexPct" vbProcedure="false">Assumptions!$C$51</definedName>
    <definedName function="false" hidden="false" name="Maint_Capex" vbProcedure="false">Capex!$C$35:$H$35</definedName>
    <definedName function="false" hidden="false" name="NWC" vbProcedure="false">Working_Capital!$C$19:$H$19</definedName>
    <definedName function="false" hidden="false" name="Period" vbProcedure="false">Segment_Revenue!$C$5:$H$5</definedName>
    <definedName function="false" hidden="false" name="Seg_CapexIntensity" vbProcedure="false">Assumptions!$C$53:$C$60</definedName>
    <definedName function="false" hidden="false" name="Seg_Growth" vbProcedure="false">Assumptions!$D$21:$D$28</definedName>
    <definedName function="false" hidden="false" name="Seg_Margin" vbProcedure="false">Assumptions!$E$21:$E$28</definedName>
    <definedName function="false" hidden="false" name="Seg_Names" vbProcedure="false">Assumptions!$B$21:$B$28</definedName>
    <definedName function="false" hidden="false" name="Seg_Revenue" vbProcedure="false">Assumptions!$C$21:$C$28</definedName>
    <definedName function="false" hidden="false" name="TaxRate" vbProcedure="false">Assumptions!$C$14</definedName>
    <definedName function="false" hidden="false" name="TerminalGrowth" vbProcedure="false">Assumptions!$C$16</definedName>
    <definedName function="false" hidden="false" name="Ticker" vbProcedure="false">Assumptions!$C$8</definedName>
    <definedName function="false" hidden="false" name="Total_Capex" vbProcedure="false">Capex!$C$37:$H$37</definedName>
    <definedName function="false" hidden="false" name="Total_EBIT" vbProcedure="false">Segment_Revenue!$C$34:$H$34</definedName>
    <definedName function="false" hidden="false" name="Total_Revenue" vbProcedure="false">Segment_Revenue!$C$32:$H$32</definedName>
    <definedName function="false" hidden="false" name="Units" vbProcedure="false">Assumptions!$C$9</definedName>
    <definedName function="false" hidden="false" name="ValuationDate" vbProcedure="false">Assumptions!$C$11</definedName>
    <definedName function="false" hidden="false" name="WACC" vbProcedure="false">Assumptions!$C$15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<sst xmlns="http://schemas.openxmlformats.org/spreadsheetml/2006/main" count="371" uniqueCount="243">
  <si>
    <t xml:space="preserve">DCF Valuation Model - Assumptions &amp; Config</t>
  </si>
  <si>
    <t xml:space="preserve">All currency figures in $ millions unless noted. Edit only blue cells with yellow fill; everything else is formula-driven.</t>
  </si>
  <si>
    <t xml:space="preserve">Active Scenario (Bear / Base / Bull)</t>
  </si>
  <si>
    <t xml:space="preserve">Base</t>
  </si>
  <si>
    <t xml:space="preserve">Scenario # (1/2/3)</t>
  </si>
  <si>
    <t xml:space="preserve">Legend:</t>
  </si>
  <si>
    <t xml:space="preserve">Input</t>
  </si>
  <si>
    <t xml:space="preserve">Formula</t>
  </si>
  <si>
    <t xml:space="preserve">Link from other tab</t>
  </si>
  <si>
    <t xml:space="preserve">1. General / Config</t>
  </si>
  <si>
    <t xml:space="preserve">Company Name</t>
  </si>
  <si>
    <t xml:space="preserve">Example Co.</t>
  </si>
  <si>
    <t xml:space="preserve">Example placeholder - replace</t>
  </si>
  <si>
    <t xml:space="preserve">Ticker</t>
  </si>
  <si>
    <t xml:space="preserve">EXCO</t>
  </si>
  <si>
    <t xml:space="preserve">Units</t>
  </si>
  <si>
    <t xml:space="preserve">$ in millions</t>
  </si>
  <si>
    <t xml:space="preserve">Label only; shown in tab headers</t>
  </si>
  <si>
    <t xml:space="preserve">Last Actual Fiscal Year (Base Year)</t>
  </si>
  <si>
    <t xml:space="preserve">Projections run Base Year +1 through +5</t>
  </si>
  <si>
    <t xml:space="preserve">Valuation Date</t>
  </si>
  <si>
    <t xml:space="preserve">2. Company-Wide Valuation Inputs</t>
  </si>
  <si>
    <t xml:space="preserve">Tax Rate</t>
  </si>
  <si>
    <t xml:space="preserve">Example placeholder - effective/marginal cash tax rate</t>
  </si>
  <si>
    <t xml:space="preserve">Discount Rate (WACC)</t>
  </si>
  <si>
    <t xml:space="preserve">Example placeholder - replace with WACC build</t>
  </si>
  <si>
    <t xml:space="preserve">Terminal Growth Rate</t>
  </si>
  <si>
    <t xml:space="preserve">Example placeholder - long-run nominal growth</t>
  </si>
  <si>
    <t xml:space="preserve">Check: Terminal Growth &lt; WACC</t>
  </si>
  <si>
    <t xml:space="preserve">3. Segment Inputs (up to 8 segments)</t>
  </si>
  <si>
    <t xml:space="preserve">Segment Name</t>
  </si>
  <si>
    <t xml:space="preserve">Current Revenue ($mm)</t>
  </si>
  <si>
    <t xml:space="preserve">Projected Growth Rate (% / yr)</t>
  </si>
  <si>
    <t xml:space="preserve">Operating Margin (%)</t>
  </si>
  <si>
    <t xml:space="preserve">Notes / Source</t>
  </si>
  <si>
    <t xml:space="preserve">Products</t>
  </si>
  <si>
    <t xml:space="preserve">Example placeholder - replace with company data</t>
  </si>
  <si>
    <t xml:space="preserve">Services</t>
  </si>
  <si>
    <t xml:space="preserve">Licensing &amp; Other</t>
  </si>
  <si>
    <t xml:space="preserve">Total / Revenue-Weighted Average</t>
  </si>
  <si>
    <t xml:space="preserve">Model Notes</t>
  </si>
  <si>
    <t xml:space="preserve">1. To add a segment, fill the next empty slot (rows 21-28); Segment_Revenue picks it up automatically. Blank slots calculate as zero.</t>
  </si>
  <si>
    <t xml:space="preserve">2. Growth rate and operating margin are applied uniformly to all 5 projection years; base-year operating income = current revenue x operating margin.</t>
  </si>
  <si>
    <t xml:space="preserve">3. Time-series tabs share one column layout: C = base year (actual), D:H = years 1-5. Link downstream tabs to the Total Company Summary block on Segment_Revenue.</t>
  </si>
  <si>
    <t xml:space="preserve">4. Named ranges: CompanyName, Ticker, Units, BaseYear, ValuationDate, TaxRate, WACC, TerminalGrowth, Seg_Names, Seg_Revenue, Seg_Growth, Seg_Margin, FY_Labels, Period, Total_Revenue, Total_EBIT.</t>
  </si>
  <si>
    <t xml:space="preserve">5. Add new driver sections (e.g. 4. Working Capital, 5. Capex &amp; D&amp;A) below this notes block.</t>
  </si>
  <si>
    <t xml:space="preserve">4. Working Capital Drivers</t>
  </si>
  <si>
    <t xml:space="preserve">Fiscal Year</t>
  </si>
  <si>
    <t xml:space="preserve">COGS (% of Revenue)</t>
  </si>
  <si>
    <t xml:space="preserve">Drives COGS for DIO / DPO; example placeholder</t>
  </si>
  <si>
    <t xml:space="preserve">DSO - Days Sales Outstanding</t>
  </si>
  <si>
    <t xml:space="preserve">Receivables = DSO x Revenue / Days per Year</t>
  </si>
  <si>
    <t xml:space="preserve">DIO - Days Inventory Outstanding</t>
  </si>
  <si>
    <t xml:space="preserve">Inventory = DIO x COGS / Days per Year</t>
  </si>
  <si>
    <t xml:space="preserve">DPO - Days Payables Outstanding</t>
  </si>
  <si>
    <t xml:space="preserve">Payables = DPO x COGS / Days per Year</t>
  </si>
  <si>
    <t xml:space="preserve">Days per Year</t>
  </si>
  <si>
    <t xml:space="preserve">Day-count basis for DSO / DIO / DPO</t>
  </si>
  <si>
    <t xml:space="preserve">Base-Year Balances ($mm)</t>
  </si>
  <si>
    <t xml:space="preserve">Accounts Receivable</t>
  </si>
  <si>
    <t xml:space="preserve">Actual balance sheet value; example placeholder - replace</t>
  </si>
  <si>
    <t xml:space="preserve">Inventory</t>
  </si>
  <si>
    <t xml:space="preserve">Accounts Payable</t>
  </si>
  <si>
    <t xml:space="preserve">5. Capex Drivers</t>
  </si>
  <si>
    <t xml:space="preserve">Maintenance Capex (% of Total Revenue)</t>
  </si>
  <si>
    <t xml:space="preserve">Applied to total revenue each projection year; example placeholder</t>
  </si>
  <si>
    <t xml:space="preserve">Segment</t>
  </si>
  <si>
    <t xml:space="preserve">Growth Capex Intensity ($ per $1 incr. revenue)</t>
  </si>
  <si>
    <t xml:space="preserve">Driver Notes (sections 4-5)</t>
  </si>
  <si>
    <t xml:space="preserve">1. Base-year days (column C) are for reference; base-year NWC uses the actual balances above.</t>
  </si>
  <si>
    <t xml:space="preserve">2. Growth capex = intensity x MAX(0, segment revenue increase); a shrinking segment adds no growth capex.</t>
  </si>
  <si>
    <t xml:space="preserve">3. Sign convention: Change in NWC and Total Capex are positive when they use cash - subtract both on the FCF tab.</t>
  </si>
  <si>
    <t xml:space="preserve">4. Named ranges: COGS_Pct, DSO_Days, DIO_Days, DPO_Days, DaysPerYear, MaintCapexPct, Seg_CapexIntensity, NWC, Change_NWC, Maint_Capex, Growth_Capex, Total_Capex.</t>
  </si>
  <si>
    <t xml:space="preserve">6. WACC Inputs</t>
  </si>
  <si>
    <t xml:space="preserve">Risk-Free Rate</t>
  </si>
  <si>
    <t xml:space="preserve">Equity Risk Premium</t>
  </si>
  <si>
    <t xml:space="preserve">Levered Beta</t>
  </si>
  <si>
    <t xml:space="preserve">Pre-Tax Cost of Debt</t>
  </si>
  <si>
    <t xml:space="preserve">Market Capitalization ($mm)</t>
  </si>
  <si>
    <t xml:space="preserve">Total Debt ($mm)</t>
  </si>
  <si>
    <t xml:space="preserve">7. DCF Inputs</t>
  </si>
  <si>
    <t xml:space="preserve">D&amp;A (% of Revenue)</t>
  </si>
  <si>
    <t xml:space="preserve">Exit EV/EBITDA Multiple</t>
  </si>
  <si>
    <t xml:space="preserve">Net Debt ($mm)</t>
  </si>
  <si>
    <t xml:space="preserve">Diluted Shares Outstanding (mm)</t>
  </si>
  <si>
    <t xml:space="preserve">Mid-Year Convention (1 = mid-year, 0 = end-of-year)</t>
  </si>
  <si>
    <t xml:space="preserve">5-Yr CAGR</t>
  </si>
  <si>
    <t xml:space="preserve">Projection Period (t)</t>
  </si>
  <si>
    <t xml:space="preserve">Revenue by Segment</t>
  </si>
  <si>
    <t xml:space="preserve">Total Revenue</t>
  </si>
  <si>
    <t xml:space="preserve">  % Growth</t>
  </si>
  <si>
    <t xml:space="preserve">Operating Income by Segment</t>
  </si>
  <si>
    <t xml:space="preserve">Total Operating Income</t>
  </si>
  <si>
    <t xml:space="preserve">  % Operating Margin</t>
  </si>
  <si>
    <t xml:space="preserve">Total Company Summary (link downstream tabs to these rows)</t>
  </si>
  <si>
    <t xml:space="preserve">Total Operating Income (EBIT)</t>
  </si>
  <si>
    <t xml:space="preserve">Check: base-year revenue ties to Assumptions</t>
  </si>
  <si>
    <t xml:space="preserve">Drivers</t>
  </si>
  <si>
    <t xml:space="preserve">  COGS (% of Revenue)</t>
  </si>
  <si>
    <t xml:space="preserve">COGS</t>
  </si>
  <si>
    <t xml:space="preserve">DSO (days)</t>
  </si>
  <si>
    <t xml:space="preserve">DIO (days)</t>
  </si>
  <si>
    <t xml:space="preserve">DPO (days)</t>
  </si>
  <si>
    <t xml:space="preserve">Working Capital Balances</t>
  </si>
  <si>
    <t xml:space="preserve">Net Working Capital (AR + Inventory - AP)</t>
  </si>
  <si>
    <t xml:space="preserve">  NWC (% of Revenue)</t>
  </si>
  <si>
    <t xml:space="preserve">Change in Net Working Capital (link FCF tab to this row)</t>
  </si>
  <si>
    <t xml:space="preserve">Change in NWC (increase = cash outflow)</t>
  </si>
  <si>
    <t xml:space="preserve">Maintenance Capex</t>
  </si>
  <si>
    <t xml:space="preserve">  Maintenance Capex (% of Revenue)</t>
  </si>
  <si>
    <t xml:space="preserve">Incremental Revenue by Segment (year-over-year increase)</t>
  </si>
  <si>
    <t xml:space="preserve">Total Incremental Revenue</t>
  </si>
  <si>
    <t xml:space="preserve">Growth Capex by Segment (intensity x MAX(0, incremental revenue))</t>
  </si>
  <si>
    <t xml:space="preserve">Total Growth Capex</t>
  </si>
  <si>
    <t xml:space="preserve">Total Capex (link FCF tab to the Total Capex row)</t>
  </si>
  <si>
    <t xml:space="preserve">Growth Capex</t>
  </si>
  <si>
    <t xml:space="preserve">Total Capex (positive = cash outflow)</t>
  </si>
  <si>
    <t xml:space="preserve">  Total Capex (% of Revenue)</t>
  </si>
  <si>
    <t xml:space="preserve">Inputs (linked from Assumptions)</t>
  </si>
  <si>
    <t xml:space="preserve">Cost of Capital</t>
  </si>
  <si>
    <t xml:space="preserve">Cost of Equity (CAPM: Rf + Beta x ERP)</t>
  </si>
  <si>
    <t xml:space="preserve">After-Tax Cost of Debt (Kd x (1 - Tax))</t>
  </si>
  <si>
    <t xml:space="preserve">Capital Structure</t>
  </si>
  <si>
    <t xml:space="preserve">Total Capitalization (Market Cap + Debt)</t>
  </si>
  <si>
    <t xml:space="preserve">Equity Weight (E / (D + E))</t>
  </si>
  <si>
    <t xml:space="preserve">Debt Weight (D / (D + E))</t>
  </si>
  <si>
    <t xml:space="preserve">Weighted Average Cost of Capital</t>
  </si>
  <si>
    <t xml:space="preserve">WACC (discount rate used by the model)</t>
  </si>
  <si>
    <t xml:space="preserve">Unlevered Free Cash Flow</t>
  </si>
  <si>
    <t xml:space="preserve">EBIT</t>
  </si>
  <si>
    <t xml:space="preserve">Less: Taxes (EBIT x Tax Rate)</t>
  </si>
  <si>
    <t xml:space="preserve">Plus: D&amp;A (Revenue x D&amp;A %)</t>
  </si>
  <si>
    <t xml:space="preserve">Less: Total Capex</t>
  </si>
  <si>
    <t xml:space="preserve">Less: Change in NWC</t>
  </si>
  <si>
    <t xml:space="preserve">Discounting</t>
  </si>
  <si>
    <t xml:space="preserve">Discount Period (t - 0.5 x toggle)</t>
  </si>
  <si>
    <t xml:space="preserve">Discount Factor (1 / (1 + WACC)^period)</t>
  </si>
  <si>
    <t xml:space="preserve">PV of Unlevered FCF</t>
  </si>
  <si>
    <t xml:space="preserve">Sum of PV of Unlevered FCF</t>
  </si>
  <si>
    <t xml:space="preserve">Terminal Value &amp; Valuation</t>
  </si>
  <si>
    <t xml:space="preserve">Perpetuity Growth</t>
  </si>
  <si>
    <t xml:space="preserve">Exit Multiple</t>
  </si>
  <si>
    <t xml:space="preserve">Terminal-Year Unlevered FCF</t>
  </si>
  <si>
    <t xml:space="preserve">Terminal-Year EBITDA (EBIT + D&amp;A)</t>
  </si>
  <si>
    <t xml:space="preserve">Terminal Value</t>
  </si>
  <si>
    <t xml:space="preserve">Terminal Discount Period (end of final year)</t>
  </si>
  <si>
    <t xml:space="preserve">Terminal Discount Factor</t>
  </si>
  <si>
    <t xml:space="preserve">PV of Terminal Value</t>
  </si>
  <si>
    <t xml:space="preserve">Plus: Sum of PV of Unlevered FCF</t>
  </si>
  <si>
    <t xml:space="preserve">Enterprise Value</t>
  </si>
  <si>
    <t xml:space="preserve">Less: Net Debt</t>
  </si>
  <si>
    <t xml:space="preserve">Equity Value</t>
  </si>
  <si>
    <t xml:space="preserve">Implied Share Price ($ per share) - OUTPUT</t>
  </si>
  <si>
    <t xml:space="preserve">Cross-Checks</t>
  </si>
  <si>
    <t xml:space="preserve">PV of Terminal Value (% of Enterprise Value)</t>
  </si>
  <si>
    <t xml:space="preserve">Implied Exit EV/EBITDA (from perpetuity method)</t>
  </si>
  <si>
    <t xml:space="preserve">Implied Perpetual Growth (from exit multiple method)</t>
  </si>
  <si>
    <t xml:space="preserve">Driver</t>
  </si>
  <si>
    <t xml:space="preserve">Bear</t>
  </si>
  <si>
    <t xml:space="preserve">Bull</t>
  </si>
  <si>
    <t xml:space="preserve">Live</t>
  </si>
  <si>
    <t xml:space="preserve">Segment Growth Rate (% / yr)</t>
  </si>
  <si>
    <t xml:space="preserve">Segment Operating Margin (%)</t>
  </si>
  <si>
    <t xml:space="preserve">Working Capital Days (projection years)</t>
  </si>
  <si>
    <t xml:space="preserve">Capex, WACC &amp; Terminal Value</t>
  </si>
  <si>
    <t xml:space="preserve">Maintenance Capex (% of Revenue)</t>
  </si>
  <si>
    <t xml:space="preserve">Scenario Summary (snapshot values, rerun script to refresh)</t>
  </si>
  <si>
    <t xml:space="preserve">Output</t>
  </si>
  <si>
    <t xml:space="preserve">Enterprise Value - Perpetuity Growth ($mm)</t>
  </si>
  <si>
    <t xml:space="preserve">Enterprise Value - Exit Multiple ($mm)</t>
  </si>
  <si>
    <t xml:space="preserve">Implied Share Price - Perpetuity Growth ($)</t>
  </si>
  <si>
    <t xml:space="preserve">Implied Share Price - Exit Multiple ($)</t>
  </si>
  <si>
    <t xml:space="preserve">Grid Steps</t>
  </si>
  <si>
    <t xml:space="preserve">WACC Step</t>
  </si>
  <si>
    <t xml:space="preserve">Terminal Growth Step</t>
  </si>
  <si>
    <t xml:space="preserve">Exit Multiple Step</t>
  </si>
  <si>
    <t xml:space="preserve">Implied Share Price - Perpetuity Growth Method: WACC vs. Terminal Growth</t>
  </si>
  <si>
    <t xml:space="preserve">WACC \ Terminal Growth</t>
  </si>
  <si>
    <t xml:space="preserve">Implied Share Price - Exit Multiple Method: WACC vs. Exit EV/EBITDA Multiple</t>
  </si>
  <si>
    <t xml:space="preserve">WACC \ Exit Multiple</t>
  </si>
  <si>
    <t xml:space="preserve">Peer Inputs</t>
  </si>
  <si>
    <t xml:space="preserve">Company</t>
  </si>
  <si>
    <t xml:space="preserve">Share Price ($)</t>
  </si>
  <si>
    <t xml:space="preserve">Diluted Shares (mm)</t>
  </si>
  <si>
    <t xml:space="preserve">Market Cap ($mm)</t>
  </si>
  <si>
    <t xml:space="preserve">Enterprise Value ($mm)</t>
  </si>
  <si>
    <t xml:space="preserve">LTM Revenue</t>
  </si>
  <si>
    <t xml:space="preserve">NTM Revenue</t>
  </si>
  <si>
    <t xml:space="preserve">LTM EBITDA</t>
  </si>
  <si>
    <t xml:space="preserve">NTM EBITDA</t>
  </si>
  <si>
    <t xml:space="preserve">LTM EBIT</t>
  </si>
  <si>
    <t xml:space="preserve">NTM EBIT</t>
  </si>
  <si>
    <t xml:space="preserve">LTM EPS ($)</t>
  </si>
  <si>
    <t xml:space="preserve">NTM EPS ($)</t>
  </si>
  <si>
    <t xml:space="preserve">Source / As-of Date</t>
  </si>
  <si>
    <t xml:space="preserve">Peer Company 1</t>
  </si>
  <si>
    <t xml:space="preserve">PEER1</t>
  </si>
  <si>
    <t xml:space="preserve">Placeholder - replace (source, as-of date)</t>
  </si>
  <si>
    <t xml:space="preserve">Peer Company 2</t>
  </si>
  <si>
    <t xml:space="preserve">PEER2</t>
  </si>
  <si>
    <t xml:space="preserve">Peer Company 3</t>
  </si>
  <si>
    <t xml:space="preserve">PEER3</t>
  </si>
  <si>
    <t xml:space="preserve">Peer Company 4</t>
  </si>
  <si>
    <t xml:space="preserve">PEER4</t>
  </si>
  <si>
    <t xml:space="preserve">Peer Company 5</t>
  </si>
  <si>
    <t xml:space="preserve">PEER5</t>
  </si>
  <si>
    <t xml:space="preserve">Peer Company 6</t>
  </si>
  <si>
    <t xml:space="preserve">PEER6</t>
  </si>
  <si>
    <t xml:space="preserve">Peer Multiples</t>
  </si>
  <si>
    <t xml:space="preserve">Include (1/0)</t>
  </si>
  <si>
    <t xml:space="preserve">EV/Revenue - LTM</t>
  </si>
  <si>
    <t xml:space="preserve">EV/Revenue - NTM</t>
  </si>
  <si>
    <t xml:space="preserve">EV/EBITDA - LTM</t>
  </si>
  <si>
    <t xml:space="preserve">EV/EBITDA - NTM</t>
  </si>
  <si>
    <t xml:space="preserve">EV/EBIT - LTM</t>
  </si>
  <si>
    <t xml:space="preserve">EV/EBIT - NTM</t>
  </si>
  <si>
    <t xml:space="preserve">P/E - LTM</t>
  </si>
  <si>
    <t xml:space="preserve">P/E - NTM</t>
  </si>
  <si>
    <t xml:space="preserve">Statistics (included peers only)</t>
  </si>
  <si>
    <t xml:space="preserve">Statistic</t>
  </si>
  <si>
    <t xml:space="preserve">Mean</t>
  </si>
  <si>
    <t xml:space="preserve">Median</t>
  </si>
  <si>
    <t xml:space="preserve">High</t>
  </si>
  <si>
    <t xml:space="preserve">Low</t>
  </si>
  <si>
    <t xml:space="preserve">25th Percentile</t>
  </si>
  <si>
    <t xml:space="preserve">75th Percentile</t>
  </si>
  <si>
    <t xml:space="preserve">Multiples Used in Statistics (multiple if Include = 1, else blank)</t>
  </si>
  <si>
    <t xml:space="preserve">Target Metrics (linked from model; LTM = base year, NTM = first projection year)</t>
  </si>
  <si>
    <t xml:space="preserve">Metric</t>
  </si>
  <si>
    <t xml:space="preserve">Revenue ($mm)</t>
  </si>
  <si>
    <t xml:space="preserve">EBITDA ($mm) (EBIT + D&amp;A)</t>
  </si>
  <si>
    <t xml:space="preserve">EBIT ($mm)</t>
  </si>
  <si>
    <t xml:space="preserve">EPS ($) ((EBIT - Total Debt x Kd) x (1 - Tax) / Shares)</t>
  </si>
  <si>
    <t xml:space="preserve">Implied Valuation</t>
  </si>
  <si>
    <t xml:space="preserve">Multiples Applied</t>
  </si>
  <si>
    <t xml:space="preserve">Target Metric</t>
  </si>
  <si>
    <t xml:space="preserve">Implied Enterprise Value ($mm)</t>
  </si>
  <si>
    <t xml:space="preserve">Implied Equity Value ($mm) (EV less Net Debt from DCF tab)</t>
  </si>
  <si>
    <t xml:space="preserve">Method</t>
  </si>
  <si>
    <t xml:space="preserve">Low (25th Pct)</t>
  </si>
  <si>
    <t xml:space="preserve">High (75th Pct)</t>
  </si>
  <si>
    <t xml:space="preserve">DCF - Perpetuity Growth (current)</t>
  </si>
  <si>
    <t xml:space="preserve">DCF - Exit Multiple (current)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</si>
</sst>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mmm\ d&quot;, &quot;yyyy"/>
    <numFmt numFmtId="167" formatCode="0.0%_);\(0.0%\);\-_)"/>
    <numFmt numFmtId="168" formatCode="\$#,##0.0_);&quot;($&quot;#,##0.0\);\-_)"/>
    <numFmt numFmtId="169" formatCode="0.0_);\(0.0\);\-_)"/>
    <numFmt numFmtId="170" formatCode="\$0.00_);&quot;($&quot;0.00\);\-_)"/>
    <numFmt numFmtId="171" formatCode="0.00"/>
    <numFmt numFmtId="172" formatCode="0.0\x"/>
    <numFmt numFmtId="173" formatCode="#,##0.0"/>
    <numFmt numFmtId="174" formatCode="General"/>
    <numFmt numFmtId="175" formatCode="0.0"/>
    <numFmt numFmtId="176" formatCode="0.0000"/>
    <numFmt numFmtId="177" formatCode="\$#,##0.00_);&quot;($&quot;#,##0.00\);\-_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50"/>
    <col collapsed="false" customWidth="true" hidden="false" outlineLevel="0" max="8" min="7" style="0" width="18"/>
    <col collapsed="false" customWidth="true" hidden="false" outlineLevel="0" max="9" min="9" style="0" width="4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  <c r="C3" s="4" t="s">
        <v>3</v>
      </c>
      <c r="D3" s="5" t="s">
        <v>4</v>
      </c>
      <c r="E3" s="5" t="n">
        <f aca="false">MATCH($C$3,Scenarios!$C$4:$E$4,0)</f>
        <v>2</v>
      </c>
    </row>
    <row r="4" customFormat="false" ht="15" hidden="false" customHeight="false" outlineLevel="0" collapsed="false">
      <c r="B4" s="3" t="s">
        <v>5</v>
      </c>
      <c r="C4" s="4" t="s">
        <v>6</v>
      </c>
      <c r="D4" s="5" t="s">
        <v>7</v>
      </c>
      <c r="E4" s="6" t="s">
        <v>8</v>
      </c>
    </row>
    <row r="6" customFormat="false" ht="15" hidden="false" customHeight="false" outlineLevel="0" collapsed="false">
      <c r="B6" s="7" t="s">
        <v>9</v>
      </c>
      <c r="C6" s="8"/>
      <c r="D6" s="8"/>
      <c r="E6" s="8"/>
      <c r="F6" s="8"/>
    </row>
    <row r="7" customFormat="false" ht="15" hidden="false" customHeight="false" outlineLevel="0" collapsed="false">
      <c r="B7" s="5" t="s">
        <v>10</v>
      </c>
      <c r="C7" s="4" t="s">
        <v>11</v>
      </c>
      <c r="D7" s="2" t="s">
        <v>12</v>
      </c>
    </row>
    <row r="8" customFormat="false" ht="15" hidden="false" customHeight="false" outlineLevel="0" collapsed="false">
      <c r="B8" s="5" t="s">
        <v>13</v>
      </c>
      <c r="C8" s="4" t="s">
        <v>14</v>
      </c>
      <c r="D8" s="2" t="s">
        <v>12</v>
      </c>
    </row>
    <row r="9" customFormat="false" ht="15" hidden="false" customHeight="false" outlineLevel="0" collapsed="false">
      <c r="B9" s="5" t="s">
        <v>15</v>
      </c>
      <c r="C9" s="4" t="s">
        <v>16</v>
      </c>
      <c r="D9" s="2" t="s">
        <v>17</v>
      </c>
    </row>
    <row r="10" customFormat="false" ht="15" hidden="false" customHeight="false" outlineLevel="0" collapsed="false">
      <c r="B10" s="5" t="s">
        <v>18</v>
      </c>
      <c r="C10" s="9" t="n">
        <v>2025</v>
      </c>
      <c r="D10" s="2" t="s">
        <v>19</v>
      </c>
    </row>
    <row r="11" customFormat="false" ht="15" hidden="false" customHeight="false" outlineLevel="0" collapsed="false">
      <c r="B11" s="5" t="s">
        <v>20</v>
      </c>
      <c r="C11" s="10" t="n">
        <v>46308</v>
      </c>
      <c r="D11" s="2" t="s">
        <v>12</v>
      </c>
    </row>
    <row r="13" customFormat="false" ht="15" hidden="false" customHeight="false" outlineLevel="0" collapsed="false">
      <c r="B13" s="7" t="s">
        <v>21</v>
      </c>
      <c r="C13" s="8"/>
      <c r="D13" s="8"/>
      <c r="E13" s="8"/>
      <c r="F13" s="8"/>
    </row>
    <row r="14" customFormat="false" ht="15" hidden="false" customHeight="false" outlineLevel="0" collapsed="false">
      <c r="B14" s="5" t="s">
        <v>22</v>
      </c>
      <c r="C14" s="11" t="n">
        <v>0.25</v>
      </c>
      <c r="D14" s="2" t="s">
        <v>23</v>
      </c>
    </row>
    <row r="15" customFormat="false" ht="15" hidden="false" customHeight="false" outlineLevel="0" collapsed="false">
      <c r="B15" s="5" t="s">
        <v>24</v>
      </c>
      <c r="C15" s="12" t="n">
        <f aca="false">WACC!$C$23</f>
        <v>0.0947142857142857</v>
      </c>
      <c r="D15" s="2" t="s">
        <v>25</v>
      </c>
    </row>
    <row r="16" customFormat="false" ht="15" hidden="false" customHeight="false" outlineLevel="0" collapsed="false">
      <c r="B16" s="5" t="s">
        <v>26</v>
      </c>
      <c r="C16" s="11" t="n">
        <v>0.025</v>
      </c>
      <c r="D16" s="2" t="s">
        <v>27</v>
      </c>
    </row>
    <row r="17" customFormat="false" ht="15" hidden="false" customHeight="false" outlineLevel="0" collapsed="false">
      <c r="B17" s="2" t="s">
        <v>28</v>
      </c>
      <c r="C17" s="3" t="str">
        <f aca="false">IF(C16&lt;C15,"OK","ERROR")</f>
        <v>OK</v>
      </c>
    </row>
    <row r="19" customFormat="false" ht="15" hidden="false" customHeight="false" outlineLevel="0" collapsed="false">
      <c r="B19" s="7" t="s">
        <v>29</v>
      </c>
      <c r="C19" s="8"/>
      <c r="D19" s="8"/>
      <c r="E19" s="8"/>
      <c r="F19" s="8"/>
    </row>
    <row r="20" customFormat="false" ht="30" hidden="false" customHeight="true" outlineLevel="0" collapsed="false">
      <c r="B20" s="13" t="s">
        <v>30</v>
      </c>
      <c r="C20" s="14" t="s">
        <v>31</v>
      </c>
      <c r="D20" s="14" t="s">
        <v>32</v>
      </c>
      <c r="E20" s="14" t="s">
        <v>33</v>
      </c>
      <c r="F20" s="13" t="s">
        <v>34</v>
      </c>
    </row>
    <row r="21" customFormat="false" ht="15" hidden="false" customHeight="false" outlineLevel="0" collapsed="false">
      <c r="B21" s="4" t="s">
        <v>35</v>
      </c>
      <c r="C21" s="15" t="n">
        <v>1200</v>
      </c>
      <c r="D21" s="12" t="n">
        <f aca="false">Scenarios!$F$7</f>
        <v>0.06</v>
      </c>
      <c r="E21" s="12" t="n">
        <f aca="false">Scenarios!$F$17</f>
        <v>0.22</v>
      </c>
      <c r="F21" s="16" t="s">
        <v>36</v>
      </c>
    </row>
    <row r="22" customFormat="false" ht="15" hidden="false" customHeight="false" outlineLevel="0" collapsed="false">
      <c r="B22" s="4" t="s">
        <v>37</v>
      </c>
      <c r="C22" s="15" t="n">
        <v>650</v>
      </c>
      <c r="D22" s="12" t="n">
        <f aca="false">Scenarios!$F$8</f>
        <v>0.1</v>
      </c>
      <c r="E22" s="12" t="n">
        <f aca="false">Scenarios!$F$18</f>
        <v>0.3</v>
      </c>
      <c r="F22" s="16" t="s">
        <v>36</v>
      </c>
    </row>
    <row r="23" customFormat="false" ht="15" hidden="false" customHeight="false" outlineLevel="0" collapsed="false">
      <c r="B23" s="4" t="s">
        <v>38</v>
      </c>
      <c r="C23" s="15" t="n">
        <v>150</v>
      </c>
      <c r="D23" s="12" t="n">
        <f aca="false">Scenarios!$F$9</f>
        <v>0.03</v>
      </c>
      <c r="E23" s="12" t="n">
        <f aca="false">Scenarios!$F$19</f>
        <v>0.08</v>
      </c>
      <c r="F23" s="16" t="s">
        <v>36</v>
      </c>
    </row>
    <row r="24" customFormat="false" ht="15" hidden="false" customHeight="false" outlineLevel="0" collapsed="false">
      <c r="B24" s="4"/>
      <c r="C24" s="15"/>
      <c r="D24" s="12" t="n">
        <f aca="false">Scenarios!$F$10</f>
        <v>0</v>
      </c>
      <c r="E24" s="12" t="n">
        <f aca="false">Scenarios!$F$20</f>
        <v>0</v>
      </c>
      <c r="F24" s="16"/>
    </row>
    <row r="25" customFormat="false" ht="15" hidden="false" customHeight="false" outlineLevel="0" collapsed="false">
      <c r="B25" s="4"/>
      <c r="C25" s="15"/>
      <c r="D25" s="12" t="n">
        <f aca="false">Scenarios!$F$11</f>
        <v>0</v>
      </c>
      <c r="E25" s="12" t="n">
        <f aca="false">Scenarios!$F$21</f>
        <v>0</v>
      </c>
      <c r="F25" s="16"/>
    </row>
    <row r="26" customFormat="false" ht="15" hidden="false" customHeight="false" outlineLevel="0" collapsed="false">
      <c r="B26" s="4"/>
      <c r="C26" s="15"/>
      <c r="D26" s="12" t="n">
        <f aca="false">Scenarios!$F$12</f>
        <v>0</v>
      </c>
      <c r="E26" s="12" t="n">
        <f aca="false">Scenarios!$F$22</f>
        <v>0</v>
      </c>
      <c r="F26" s="16"/>
    </row>
    <row r="27" customFormat="false" ht="15" hidden="false" customHeight="false" outlineLevel="0" collapsed="false">
      <c r="B27" s="4"/>
      <c r="C27" s="15"/>
      <c r="D27" s="12" t="n">
        <f aca="false">Scenarios!$F$13</f>
        <v>0</v>
      </c>
      <c r="E27" s="12" t="n">
        <f aca="false">Scenarios!$F$23</f>
        <v>0</v>
      </c>
      <c r="F27" s="16"/>
    </row>
    <row r="28" customFormat="false" ht="15" hidden="false" customHeight="false" outlineLevel="0" collapsed="false">
      <c r="B28" s="4"/>
      <c r="C28" s="15"/>
      <c r="D28" s="12" t="n">
        <f aca="false">Scenarios!$F$14</f>
        <v>0</v>
      </c>
      <c r="E28" s="12" t="n">
        <f aca="false">Scenarios!$F$24</f>
        <v>0</v>
      </c>
      <c r="F28" s="16"/>
    </row>
    <row r="29" customFormat="false" ht="15" hidden="false" customHeight="false" outlineLevel="0" collapsed="false">
      <c r="B29" s="17" t="s">
        <v>39</v>
      </c>
      <c r="C29" s="18" t="n">
        <f aca="false">SUM(C21:C28)</f>
        <v>2000</v>
      </c>
      <c r="D29" s="19" t="n">
        <f aca="false">IF(C29=0,0,SUMPRODUCT(C21:C28,D21:D28)/C29)</f>
        <v>0.07075</v>
      </c>
      <c r="E29" s="19" t="n">
        <f aca="false">IF(C29=0,0,SUMPRODUCT(C21:C28,E21:E28)/C29)</f>
        <v>0.2355</v>
      </c>
      <c r="F29" s="20"/>
    </row>
    <row r="31" customFormat="false" ht="15" hidden="false" customHeight="false" outlineLevel="0" collapsed="false">
      <c r="B31" s="3" t="s">
        <v>40</v>
      </c>
    </row>
    <row r="32" customFormat="false" ht="15" hidden="false" customHeight="false" outlineLevel="0" collapsed="false">
      <c r="B32" s="2" t="s">
        <v>41</v>
      </c>
    </row>
    <row r="33" customFormat="false" ht="15" hidden="false" customHeight="false" outlineLevel="0" collapsed="false">
      <c r="B33" s="2" t="s">
        <v>42</v>
      </c>
    </row>
    <row r="34" customFormat="false" ht="15" hidden="false" customHeight="false" outlineLevel="0" collapsed="false">
      <c r="B34" s="2" t="s">
        <v>43</v>
      </c>
    </row>
    <row r="35" customFormat="false" ht="15" hidden="false" customHeight="false" outlineLevel="0" collapsed="false">
      <c r="B35" s="2" t="s">
        <v>44</v>
      </c>
    </row>
    <row r="36" customFormat="false" ht="15" hidden="false" customHeight="false" outlineLevel="0" collapsed="false">
      <c r="B36" s="2" t="s">
        <v>45</v>
      </c>
    </row>
    <row r="38" customFormat="false" ht="15" hidden="false" customHeight="false" outlineLevel="0" collapsed="false">
      <c r="B38" s="7" t="s">
        <v>46</v>
      </c>
      <c r="C38" s="8"/>
      <c r="D38" s="8"/>
      <c r="E38" s="8"/>
      <c r="F38" s="8"/>
      <c r="G38" s="8"/>
      <c r="H38" s="8"/>
      <c r="I38" s="8"/>
    </row>
    <row r="39" customFormat="false" ht="15" hidden="false" customHeight="false" outlineLevel="0" collapsed="false">
      <c r="B39" s="21" t="s">
        <v>47</v>
      </c>
      <c r="C39" s="22" t="str">
        <f aca="false">Segment_Revenue!C$4</f>
        <v>FY2025A</v>
      </c>
      <c r="D39" s="22" t="str">
        <f aca="false">Segment_Revenue!D$4</f>
        <v>FY2026E</v>
      </c>
      <c r="E39" s="22" t="str">
        <f aca="false">Segment_Revenue!E$4</f>
        <v>FY2027E</v>
      </c>
      <c r="F39" s="22" t="str">
        <f aca="false">Segment_Revenue!F$4</f>
        <v>FY2028E</v>
      </c>
      <c r="G39" s="22" t="str">
        <f aca="false">Segment_Revenue!G$4</f>
        <v>FY2029E</v>
      </c>
      <c r="H39" s="22" t="str">
        <f aca="false">Segment_Revenue!H$4</f>
        <v>FY2030E</v>
      </c>
      <c r="I39" s="21" t="s">
        <v>34</v>
      </c>
    </row>
    <row r="40" customFormat="false" ht="15" hidden="false" customHeight="false" outlineLevel="0" collapsed="false">
      <c r="B40" s="5" t="s">
        <v>48</v>
      </c>
      <c r="C40" s="11" t="n">
        <v>0.55</v>
      </c>
      <c r="D40" s="11" t="n">
        <v>0.55</v>
      </c>
      <c r="E40" s="11" t="n">
        <v>0.55</v>
      </c>
      <c r="F40" s="11" t="n">
        <v>0.55</v>
      </c>
      <c r="G40" s="11" t="n">
        <v>0.55</v>
      </c>
      <c r="H40" s="11" t="n">
        <v>0.55</v>
      </c>
      <c r="I40" s="2" t="s">
        <v>49</v>
      </c>
    </row>
    <row r="41" customFormat="false" ht="15" hidden="false" customHeight="false" outlineLevel="0" collapsed="false">
      <c r="B41" s="5" t="s">
        <v>50</v>
      </c>
      <c r="C41" s="23" t="n">
        <v>45</v>
      </c>
      <c r="D41" s="24" t="n">
        <f aca="false">Scenarios!$F$27</f>
        <v>45</v>
      </c>
      <c r="E41" s="24" t="n">
        <f aca="false">Scenarios!$F$28</f>
        <v>44</v>
      </c>
      <c r="F41" s="24" t="n">
        <f aca="false">Scenarios!$F$29</f>
        <v>44</v>
      </c>
      <c r="G41" s="24" t="n">
        <f aca="false">Scenarios!$F$30</f>
        <v>43</v>
      </c>
      <c r="H41" s="24" t="n">
        <f aca="false">Scenarios!$F$31</f>
        <v>43</v>
      </c>
      <c r="I41" s="2" t="s">
        <v>51</v>
      </c>
    </row>
    <row r="42" customFormat="false" ht="15" hidden="false" customHeight="false" outlineLevel="0" collapsed="false">
      <c r="B42" s="5" t="s">
        <v>52</v>
      </c>
      <c r="C42" s="23" t="n">
        <v>60</v>
      </c>
      <c r="D42" s="24" t="n">
        <f aca="false">Scenarios!$F$32</f>
        <v>60</v>
      </c>
      <c r="E42" s="24" t="n">
        <f aca="false">Scenarios!$F$33</f>
        <v>58</v>
      </c>
      <c r="F42" s="24" t="n">
        <f aca="false">Scenarios!$F$34</f>
        <v>57</v>
      </c>
      <c r="G42" s="24" t="n">
        <f aca="false">Scenarios!$F$35</f>
        <v>56</v>
      </c>
      <c r="H42" s="24" t="n">
        <f aca="false">Scenarios!$F$36</f>
        <v>55</v>
      </c>
      <c r="I42" s="2" t="s">
        <v>53</v>
      </c>
    </row>
    <row r="43" customFormat="false" ht="15" hidden="false" customHeight="false" outlineLevel="0" collapsed="false">
      <c r="B43" s="5" t="s">
        <v>54</v>
      </c>
      <c r="C43" s="23" t="n">
        <v>40</v>
      </c>
      <c r="D43" s="24" t="n">
        <f aca="false">Scenarios!$F$37</f>
        <v>40</v>
      </c>
      <c r="E43" s="24" t="n">
        <f aca="false">Scenarios!$F$38</f>
        <v>40</v>
      </c>
      <c r="F43" s="24" t="n">
        <f aca="false">Scenarios!$F$39</f>
        <v>40</v>
      </c>
      <c r="G43" s="24" t="n">
        <f aca="false">Scenarios!$F$40</f>
        <v>40</v>
      </c>
      <c r="H43" s="24" t="n">
        <f aca="false">Scenarios!$F$41</f>
        <v>40</v>
      </c>
      <c r="I43" s="2" t="s">
        <v>55</v>
      </c>
    </row>
    <row r="44" customFormat="false" ht="15" hidden="false" customHeight="false" outlineLevel="0" collapsed="false">
      <c r="B44" s="5" t="s">
        <v>56</v>
      </c>
      <c r="C44" s="9" t="n">
        <v>365</v>
      </c>
      <c r="I44" s="2" t="s">
        <v>57</v>
      </c>
    </row>
    <row r="45" customFormat="false" ht="15" hidden="false" customHeight="false" outlineLevel="0" collapsed="false">
      <c r="B45" s="3" t="s">
        <v>58</v>
      </c>
      <c r="C45" s="25" t="str">
        <f aca="false">Segment_Revenue!C$4</f>
        <v>FY2025A</v>
      </c>
    </row>
    <row r="46" customFormat="false" ht="15" hidden="false" customHeight="false" outlineLevel="0" collapsed="false">
      <c r="B46" s="5" t="s">
        <v>59</v>
      </c>
      <c r="C46" s="15" t="n">
        <v>245</v>
      </c>
      <c r="I46" s="2" t="s">
        <v>60</v>
      </c>
    </row>
    <row r="47" customFormat="false" ht="15" hidden="false" customHeight="false" outlineLevel="0" collapsed="false">
      <c r="B47" s="5" t="s">
        <v>61</v>
      </c>
      <c r="C47" s="15" t="n">
        <v>180</v>
      </c>
      <c r="I47" s="2" t="s">
        <v>60</v>
      </c>
    </row>
    <row r="48" customFormat="false" ht="15" hidden="false" customHeight="false" outlineLevel="0" collapsed="false">
      <c r="B48" s="5" t="s">
        <v>62</v>
      </c>
      <c r="C48" s="15" t="n">
        <v>120</v>
      </c>
      <c r="I48" s="2" t="s">
        <v>60</v>
      </c>
    </row>
    <row r="50" customFormat="false" ht="15" hidden="false" customHeight="false" outlineLevel="0" collapsed="false">
      <c r="B50" s="7" t="s">
        <v>63</v>
      </c>
      <c r="C50" s="8"/>
      <c r="D50" s="8"/>
      <c r="E50" s="8"/>
      <c r="F50" s="8"/>
      <c r="G50" s="8"/>
      <c r="H50" s="8"/>
      <c r="I50" s="8"/>
    </row>
    <row r="51" customFormat="false" ht="15" hidden="false" customHeight="false" outlineLevel="0" collapsed="false">
      <c r="B51" s="5" t="s">
        <v>64</v>
      </c>
      <c r="C51" s="12" t="n">
        <f aca="false">Scenarios!$F$44</f>
        <v>0.03</v>
      </c>
      <c r="I51" s="2" t="s">
        <v>65</v>
      </c>
    </row>
    <row r="52" customFormat="false" ht="42" hidden="false" customHeight="true" outlineLevel="0" collapsed="false">
      <c r="B52" s="13" t="s">
        <v>66</v>
      </c>
      <c r="C52" s="14" t="s">
        <v>67</v>
      </c>
      <c r="I52" s="13" t="s">
        <v>34</v>
      </c>
    </row>
    <row r="53" customFormat="false" ht="15" hidden="false" customHeight="false" outlineLevel="0" collapsed="false">
      <c r="B53" s="5" t="str">
        <f aca="false">IF($B21="","",$B21)</f>
        <v>Products</v>
      </c>
      <c r="C53" s="26" t="n">
        <v>0.25</v>
      </c>
      <c r="I53" s="16" t="s">
        <v>12</v>
      </c>
    </row>
    <row r="54" customFormat="false" ht="15" hidden="false" customHeight="false" outlineLevel="0" collapsed="false">
      <c r="B54" s="5" t="str">
        <f aca="false">IF($B22="","",$B22)</f>
        <v>Services</v>
      </c>
      <c r="C54" s="26" t="n">
        <v>0.15</v>
      </c>
      <c r="I54" s="16" t="s">
        <v>12</v>
      </c>
    </row>
    <row r="55" customFormat="false" ht="15" hidden="false" customHeight="false" outlineLevel="0" collapsed="false">
      <c r="B55" s="5" t="str">
        <f aca="false">IF($B23="","",$B23)</f>
        <v>Licensing &amp; Other</v>
      </c>
      <c r="C55" s="26" t="n">
        <v>0.1</v>
      </c>
      <c r="I55" s="16" t="s">
        <v>12</v>
      </c>
    </row>
    <row r="56" customFormat="false" ht="15" hidden="false" customHeight="false" outlineLevel="0" collapsed="false">
      <c r="B56" s="5" t="str">
        <f aca="false">IF($B24="","",$B24)</f>
        <v/>
      </c>
      <c r="C56" s="26"/>
      <c r="I56" s="16"/>
    </row>
    <row r="57" customFormat="false" ht="15" hidden="false" customHeight="false" outlineLevel="0" collapsed="false">
      <c r="B57" s="5" t="str">
        <f aca="false">IF($B25="","",$B25)</f>
        <v/>
      </c>
      <c r="C57" s="26"/>
      <c r="I57" s="16"/>
    </row>
    <row r="58" customFormat="false" ht="15" hidden="false" customHeight="false" outlineLevel="0" collapsed="false">
      <c r="B58" s="5" t="str">
        <f aca="false">IF($B26="","",$B26)</f>
        <v/>
      </c>
      <c r="C58" s="26"/>
      <c r="I58" s="16"/>
    </row>
    <row r="59" customFormat="false" ht="15" hidden="false" customHeight="false" outlineLevel="0" collapsed="false">
      <c r="B59" s="5" t="str">
        <f aca="false">IF($B27="","",$B27)</f>
        <v/>
      </c>
      <c r="C59" s="26"/>
      <c r="I59" s="16"/>
    </row>
    <row r="60" customFormat="false" ht="15" hidden="false" customHeight="false" outlineLevel="0" collapsed="false">
      <c r="B60" s="5" t="str">
        <f aca="false">IF($B28="","",$B28)</f>
        <v/>
      </c>
      <c r="C60" s="26"/>
      <c r="I60" s="16"/>
    </row>
    <row r="62" customFormat="false" ht="15" hidden="false" customHeight="false" outlineLevel="0" collapsed="false">
      <c r="B62" s="3" t="s">
        <v>68</v>
      </c>
    </row>
    <row r="63" customFormat="false" ht="15" hidden="false" customHeight="false" outlineLevel="0" collapsed="false">
      <c r="B63" s="2" t="s">
        <v>69</v>
      </c>
    </row>
    <row r="64" customFormat="false" ht="15" hidden="false" customHeight="false" outlineLevel="0" collapsed="false">
      <c r="B64" s="2" t="s">
        <v>70</v>
      </c>
    </row>
    <row r="65" customFormat="false" ht="15" hidden="false" customHeight="false" outlineLevel="0" collapsed="false">
      <c r="B65" s="2" t="s">
        <v>71</v>
      </c>
    </row>
    <row r="66" customFormat="false" ht="15" hidden="false" customHeight="false" outlineLevel="0" collapsed="false">
      <c r="B66" s="2" t="s">
        <v>72</v>
      </c>
    </row>
    <row r="68" customFormat="false" ht="15" hidden="false" customHeight="false" outlineLevel="0" collapsed="false">
      <c r="B68" s="7" t="s">
        <v>73</v>
      </c>
      <c r="C68" s="8"/>
      <c r="D68" s="8"/>
      <c r="E68" s="8"/>
      <c r="F68" s="8"/>
      <c r="G68" s="8"/>
      <c r="H68" s="8"/>
      <c r="I68" s="8"/>
    </row>
    <row r="69" customFormat="false" ht="15" hidden="false" customHeight="false" outlineLevel="0" collapsed="false">
      <c r="B69" s="5" t="s">
        <v>74</v>
      </c>
      <c r="C69" s="11" t="n">
        <v>0.0425</v>
      </c>
      <c r="I69" s="2" t="s">
        <v>12</v>
      </c>
    </row>
    <row r="70" customFormat="false" ht="15" hidden="false" customHeight="false" outlineLevel="0" collapsed="false">
      <c r="B70" s="5" t="s">
        <v>75</v>
      </c>
      <c r="C70" s="11" t="n">
        <v>0.055</v>
      </c>
      <c r="I70" s="2" t="s">
        <v>12</v>
      </c>
    </row>
    <row r="71" customFormat="false" ht="15" hidden="false" customHeight="false" outlineLevel="0" collapsed="false">
      <c r="B71" s="5" t="s">
        <v>76</v>
      </c>
      <c r="C71" s="27" t="n">
        <f aca="false">Scenarios!$F$45</f>
        <v>1.1</v>
      </c>
      <c r="I71" s="2" t="s">
        <v>12</v>
      </c>
    </row>
    <row r="72" customFormat="false" ht="15" hidden="false" customHeight="false" outlineLevel="0" collapsed="false">
      <c r="B72" s="5" t="s">
        <v>77</v>
      </c>
      <c r="C72" s="11" t="n">
        <v>0.06</v>
      </c>
      <c r="I72" s="2" t="s">
        <v>12</v>
      </c>
    </row>
    <row r="73" customFormat="false" ht="15" hidden="false" customHeight="false" outlineLevel="0" collapsed="false">
      <c r="B73" s="5" t="s">
        <v>78</v>
      </c>
      <c r="C73" s="15" t="n">
        <v>6000</v>
      </c>
      <c r="I73" s="2" t="s">
        <v>12</v>
      </c>
    </row>
    <row r="74" customFormat="false" ht="15" hidden="false" customHeight="false" outlineLevel="0" collapsed="false">
      <c r="B74" s="5" t="s">
        <v>79</v>
      </c>
      <c r="C74" s="15" t="n">
        <v>1000</v>
      </c>
      <c r="I74" s="2" t="s">
        <v>12</v>
      </c>
    </row>
    <row r="76" customFormat="false" ht="15" hidden="false" customHeight="false" outlineLevel="0" collapsed="false">
      <c r="B76" s="7" t="s">
        <v>80</v>
      </c>
      <c r="C76" s="8"/>
      <c r="D76" s="8"/>
      <c r="E76" s="8"/>
      <c r="F76" s="8"/>
      <c r="G76" s="8"/>
      <c r="H76" s="8"/>
      <c r="I76" s="8"/>
    </row>
    <row r="77" customFormat="false" ht="15" hidden="false" customHeight="false" outlineLevel="0" collapsed="false">
      <c r="B77" s="5" t="s">
        <v>81</v>
      </c>
      <c r="C77" s="11" t="n">
        <v>0.035</v>
      </c>
      <c r="I77" s="2" t="s">
        <v>12</v>
      </c>
    </row>
    <row r="78" customFormat="false" ht="15" hidden="false" customHeight="false" outlineLevel="0" collapsed="false">
      <c r="B78" s="5" t="s">
        <v>26</v>
      </c>
      <c r="C78" s="12" t="n">
        <f aca="false">Scenarios!$F$46</f>
        <v>0.025</v>
      </c>
      <c r="I78" s="2" t="s">
        <v>12</v>
      </c>
    </row>
    <row r="79" customFormat="false" ht="15" hidden="false" customHeight="false" outlineLevel="0" collapsed="false">
      <c r="B79" s="5" t="s">
        <v>82</v>
      </c>
      <c r="C79" s="28" t="n">
        <f aca="false">Scenarios!$F$47</f>
        <v>12</v>
      </c>
      <c r="I79" s="2" t="s">
        <v>12</v>
      </c>
    </row>
    <row r="80" customFormat="false" ht="15" hidden="false" customHeight="false" outlineLevel="0" collapsed="false">
      <c r="B80" s="5" t="s">
        <v>83</v>
      </c>
      <c r="C80" s="15" t="n">
        <v>800</v>
      </c>
      <c r="I80" s="2" t="s">
        <v>12</v>
      </c>
    </row>
    <row r="81" customFormat="false" ht="15" hidden="false" customHeight="false" outlineLevel="0" collapsed="false">
      <c r="B81" s="5" t="s">
        <v>84</v>
      </c>
      <c r="C81" s="29" t="n">
        <v>150</v>
      </c>
      <c r="I81" s="2" t="s">
        <v>12</v>
      </c>
    </row>
    <row r="82" customFormat="false" ht="15" hidden="false" customHeight="false" outlineLevel="0" collapsed="false">
      <c r="B82" s="5" t="s">
        <v>85</v>
      </c>
      <c r="C82" s="9" t="n">
        <v>1</v>
      </c>
      <c r="I82" s="2" t="s">
        <v>12</v>
      </c>
    </row>
  </sheetData>
  <dataValidations count="7">
    <dataValidation allowBlank="true" error="Enter a percentage between 0% and 100% (e.g. 25% or 0.25)." errorStyle="stop" errorTitle="Invalid percentage" operator="between" showDropDown="false" showErrorMessage="true" showInputMessage="false" sqref="C14:C15 C40:H40 C51" type="decimal">
      <formula1>0</formula1>
      <formula2>1</formula2>
    </dataValidation>
    <dataValidation allowBlank="true" error="Enter a percentage between -10% and 20% (e.g. 25% or 0.25)." errorStyle="stop" errorTitle="Invalid percentage" operator="between" showDropDown="false" showErrorMessage="true" showInputMessage="false" sqref="C16" type="decimal">
      <formula1>-0.1</formula1>
      <formula2>0.2</formula2>
    </dataValidation>
    <dataValidation allowBlank="true" error="Enter a percentage between -100% and 100% (e.g. 25% or 0.25)." errorStyle="stop" errorTitle="Invalid percentage" operator="between" showDropDown="false" showErrorMessage="true" showInputMessage="false" sqref="D21:D28" type="decimal">
      <formula1>-1</formula1>
      <formula2>1</formula2>
    </dataValidation>
    <dataValidation allowBlank="true" error="Enter a percentage between -100% and 100% (e.g. 25% or 0.25)." errorStyle="stop" errorTitle="Invalid percentage" operator="between" showDropDown="false" showErrorMessage="true" showInputMessage="false" sqref="E21:E28" type="decimal">
      <formula1>-1</formula1>
      <formula2>1</formula2>
    </dataValidation>
    <dataValidation allowBlank="true" error="Enter a number of days between 0 and 365." errorStyle="stop" errorTitle="Invalid number of days" operator="between" showDropDown="false" showErrorMessage="true" showInputMessage="false" sqref="C41:H43" type="decimal">
      <formula1>0</formula1>
      <formula2>365</formula2>
    </dataValidation>
    <dataValidation allowBlank="true" error="Enter a capex intensity between 0 and 10." errorStyle="stop" errorTitle="Invalid capex intensity" operator="between" showDropDown="false" showErrorMessage="true" showInputMessage="false" sqref="C53:C60" type="decimal">
      <formula1>0</formula1>
      <formula2>10</formula2>
    </dataValidation>
    <dataValidation allowBlank="false" error="Choose Bear, Base or Bull." errorStyle="stop" errorTitle="Invalid scenario" operator="between" showDropDown="false" showErrorMessage="true" showInputMessage="false" sqref="C3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3"/>
  </cols>
  <sheetData>
    <row r="1" customFormat="false" ht="17.35" hidden="false" customHeight="false" outlineLevel="0" collapsed="false">
      <c r="B1" s="1" t="str">
        <f aca="false">CompanyName&amp;" - Segment Revenue &amp; Operating Income Build"</f>
        <v>Example Co. - Segment Revenue &amp; Operating Income Build</v>
      </c>
    </row>
    <row r="2" customFormat="false" ht="15" hidden="false" customHeight="false" outlineLevel="0" collapsed="false">
      <c r="B2" s="2" t="str">
        <f aca="false">"("&amp;Units&amp;"; all drivers link to the Assumptions tab)"</f>
        <v>($ in millions; all drivers link to the Assumptions tab)</v>
      </c>
    </row>
    <row r="4" customFormat="false" ht="15" hidden="false" customHeight="false" outlineLevel="0" collapsed="false">
      <c r="B4" s="30" t="s">
        <v>47</v>
      </c>
      <c r="C4" s="31" t="str">
        <f aca="false">"FY"&amp;BaseYear&amp;"A"</f>
        <v>FY2025A</v>
      </c>
      <c r="D4" s="31" t="str">
        <f aca="false">"FY"&amp;(BaseYear+D$5)&amp;"E"</f>
        <v>FY2026E</v>
      </c>
      <c r="E4" s="31" t="str">
        <f aca="false">"FY"&amp;(BaseYear+E$5)&amp;"E"</f>
        <v>FY2027E</v>
      </c>
      <c r="F4" s="31" t="str">
        <f aca="false">"FY"&amp;(BaseYear+F$5)&amp;"E"</f>
        <v>FY2028E</v>
      </c>
      <c r="G4" s="31" t="str">
        <f aca="false">"FY"&amp;(BaseYear+G$5)&amp;"E"</f>
        <v>FY2029E</v>
      </c>
      <c r="H4" s="31" t="str">
        <f aca="false">"FY"&amp;(BaseYear+H$5)&amp;"E"</f>
        <v>FY2030E</v>
      </c>
      <c r="I4" s="31" t="s">
        <v>86</v>
      </c>
    </row>
    <row r="5" customFormat="false" ht="15" hidden="false" customHeight="false" outlineLevel="0" collapsed="false">
      <c r="B5" s="32" t="s">
        <v>87</v>
      </c>
      <c r="C5" s="33" t="n">
        <v>0</v>
      </c>
      <c r="D5" s="34" t="n">
        <f aca="false">C5+1</f>
        <v>1</v>
      </c>
      <c r="E5" s="34" t="n">
        <f aca="false">D5+1</f>
        <v>2</v>
      </c>
      <c r="F5" s="34" t="n">
        <f aca="false">E5+1</f>
        <v>3</v>
      </c>
      <c r="G5" s="34" t="n">
        <f aca="false">F5+1</f>
        <v>4</v>
      </c>
      <c r="H5" s="34" t="n">
        <f aca="false">G5+1</f>
        <v>5</v>
      </c>
      <c r="I5" s="35"/>
    </row>
    <row r="7" customFormat="false" ht="15" hidden="false" customHeight="false" outlineLevel="0" collapsed="false">
      <c r="B7" s="7" t="s">
        <v>88</v>
      </c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B8" s="6" t="str">
        <f aca="false">IF(Assumptions!$B21="","",Assumptions!$B21)</f>
        <v>Products</v>
      </c>
      <c r="C8" s="36" t="n">
        <f aca="false">Assumptions!$C21</f>
        <v>1200</v>
      </c>
      <c r="D8" s="37" t="n">
        <f aca="false">C8*(1+Assumptions!$D21)</f>
        <v>1272</v>
      </c>
      <c r="E8" s="37" t="n">
        <f aca="false">D8*(1+Assumptions!$D21)</f>
        <v>1348.32</v>
      </c>
      <c r="F8" s="37" t="n">
        <f aca="false">E8*(1+Assumptions!$D21)</f>
        <v>1429.2192</v>
      </c>
      <c r="G8" s="37" t="n">
        <f aca="false">F8*(1+Assumptions!$D21)</f>
        <v>1514.972352</v>
      </c>
      <c r="H8" s="37" t="n">
        <f aca="false">G8*(1+Assumptions!$D21)</f>
        <v>1605.87069312</v>
      </c>
      <c r="I8" s="38" t="n">
        <f aca="false">IF(C8&lt;=0,0,(H8/C8)^(1/$H$5)-1)</f>
        <v>0.0600000000000001</v>
      </c>
    </row>
    <row r="9" customFormat="false" ht="15" hidden="false" customHeight="false" outlineLevel="0" collapsed="false">
      <c r="B9" s="6" t="str">
        <f aca="false">IF(Assumptions!$B22="","",Assumptions!$B22)</f>
        <v>Services</v>
      </c>
      <c r="C9" s="36" t="n">
        <f aca="false">Assumptions!$C22</f>
        <v>650</v>
      </c>
      <c r="D9" s="37" t="n">
        <f aca="false">C9*(1+Assumptions!$D22)</f>
        <v>715</v>
      </c>
      <c r="E9" s="37" t="n">
        <f aca="false">D9*(1+Assumptions!$D22)</f>
        <v>786.5</v>
      </c>
      <c r="F9" s="37" t="n">
        <f aca="false">E9*(1+Assumptions!$D22)</f>
        <v>865.15</v>
      </c>
      <c r="G9" s="37" t="n">
        <f aca="false">F9*(1+Assumptions!$D22)</f>
        <v>951.665</v>
      </c>
      <c r="H9" s="37" t="n">
        <f aca="false">G9*(1+Assumptions!$D22)</f>
        <v>1046.8315</v>
      </c>
      <c r="I9" s="38" t="n">
        <f aca="false">IF(C9&lt;=0,0,(H9/C9)^(1/$H$5)-1)</f>
        <v>0.1</v>
      </c>
    </row>
    <row r="10" customFormat="false" ht="15" hidden="false" customHeight="false" outlineLevel="0" collapsed="false">
      <c r="B10" s="6" t="str">
        <f aca="false">IF(Assumptions!$B23="","",Assumptions!$B23)</f>
        <v>Licensing &amp; Other</v>
      </c>
      <c r="C10" s="36" t="n">
        <f aca="false">Assumptions!$C23</f>
        <v>150</v>
      </c>
      <c r="D10" s="37" t="n">
        <f aca="false">C10*(1+Assumptions!$D23)</f>
        <v>154.5</v>
      </c>
      <c r="E10" s="37" t="n">
        <f aca="false">D10*(1+Assumptions!$D23)</f>
        <v>159.135</v>
      </c>
      <c r="F10" s="37" t="n">
        <f aca="false">E10*(1+Assumptions!$D23)</f>
        <v>163.90905</v>
      </c>
      <c r="G10" s="37" t="n">
        <f aca="false">F10*(1+Assumptions!$D23)</f>
        <v>168.8263215</v>
      </c>
      <c r="H10" s="37" t="n">
        <f aca="false">G10*(1+Assumptions!$D23)</f>
        <v>173.891111145</v>
      </c>
      <c r="I10" s="38" t="n">
        <f aca="false">IF(C10&lt;=0,0,(H10/C10)^(1/$H$5)-1)</f>
        <v>0.03</v>
      </c>
    </row>
    <row r="11" customFormat="false" ht="15" hidden="false" customHeight="false" outlineLevel="0" collapsed="false">
      <c r="B11" s="6" t="str">
        <f aca="false">IF(Assumptions!$B24="","",Assumptions!$B24)</f>
        <v/>
      </c>
      <c r="C11" s="36" t="n">
        <f aca="false">Assumptions!$C24</f>
        <v>0</v>
      </c>
      <c r="D11" s="37" t="n">
        <f aca="false">C11*(1+Assumptions!$D24)</f>
        <v>0</v>
      </c>
      <c r="E11" s="37" t="n">
        <f aca="false">D11*(1+Assumptions!$D24)</f>
        <v>0</v>
      </c>
      <c r="F11" s="37" t="n">
        <f aca="false">E11*(1+Assumptions!$D24)</f>
        <v>0</v>
      </c>
      <c r="G11" s="37" t="n">
        <f aca="false">F11*(1+Assumptions!$D24)</f>
        <v>0</v>
      </c>
      <c r="H11" s="37" t="n">
        <f aca="false">G11*(1+Assumptions!$D24)</f>
        <v>0</v>
      </c>
      <c r="I11" s="38" t="n">
        <f aca="false">IF(C11&lt;=0,0,(H11/C11)^(1/$H$5)-1)</f>
        <v>0</v>
      </c>
    </row>
    <row r="12" customFormat="false" ht="15" hidden="false" customHeight="false" outlineLevel="0" collapsed="false">
      <c r="B12" s="6" t="str">
        <f aca="false">IF(Assumptions!$B25="","",Assumptions!$B25)</f>
        <v/>
      </c>
      <c r="C12" s="36" t="n">
        <f aca="false">Assumptions!$C25</f>
        <v>0</v>
      </c>
      <c r="D12" s="37" t="n">
        <f aca="false">C12*(1+Assumptions!$D25)</f>
        <v>0</v>
      </c>
      <c r="E12" s="37" t="n">
        <f aca="false">D12*(1+Assumptions!$D25)</f>
        <v>0</v>
      </c>
      <c r="F12" s="37" t="n">
        <f aca="false">E12*(1+Assumptions!$D25)</f>
        <v>0</v>
      </c>
      <c r="G12" s="37" t="n">
        <f aca="false">F12*(1+Assumptions!$D25)</f>
        <v>0</v>
      </c>
      <c r="H12" s="37" t="n">
        <f aca="false">G12*(1+Assumptions!$D25)</f>
        <v>0</v>
      </c>
      <c r="I12" s="38" t="n">
        <f aca="false">IF(C12&lt;=0,0,(H12/C12)^(1/$H$5)-1)</f>
        <v>0</v>
      </c>
    </row>
    <row r="13" customFormat="false" ht="15" hidden="false" customHeight="false" outlineLevel="0" collapsed="false">
      <c r="B13" s="6" t="str">
        <f aca="false">IF(Assumptions!$B26="","",Assumptions!$B26)</f>
        <v/>
      </c>
      <c r="C13" s="36" t="n">
        <f aca="false">Assumptions!$C26</f>
        <v>0</v>
      </c>
      <c r="D13" s="37" t="n">
        <f aca="false">C13*(1+Assumptions!$D26)</f>
        <v>0</v>
      </c>
      <c r="E13" s="37" t="n">
        <f aca="false">D13*(1+Assumptions!$D26)</f>
        <v>0</v>
      </c>
      <c r="F13" s="37" t="n">
        <f aca="false">E13*(1+Assumptions!$D26)</f>
        <v>0</v>
      </c>
      <c r="G13" s="37" t="n">
        <f aca="false">F13*(1+Assumptions!$D26)</f>
        <v>0</v>
      </c>
      <c r="H13" s="37" t="n">
        <f aca="false">G13*(1+Assumptions!$D26)</f>
        <v>0</v>
      </c>
      <c r="I13" s="38" t="n">
        <f aca="false">IF(C13&lt;=0,0,(H13/C13)^(1/$H$5)-1)</f>
        <v>0</v>
      </c>
    </row>
    <row r="14" customFormat="false" ht="15" hidden="false" customHeight="false" outlineLevel="0" collapsed="false">
      <c r="B14" s="6" t="str">
        <f aca="false">IF(Assumptions!$B27="","",Assumptions!$B27)</f>
        <v/>
      </c>
      <c r="C14" s="36" t="n">
        <f aca="false">Assumptions!$C27</f>
        <v>0</v>
      </c>
      <c r="D14" s="37" t="n">
        <f aca="false">C14*(1+Assumptions!$D27)</f>
        <v>0</v>
      </c>
      <c r="E14" s="37" t="n">
        <f aca="false">D14*(1+Assumptions!$D27)</f>
        <v>0</v>
      </c>
      <c r="F14" s="37" t="n">
        <f aca="false">E14*(1+Assumptions!$D27)</f>
        <v>0</v>
      </c>
      <c r="G14" s="37" t="n">
        <f aca="false">F14*(1+Assumptions!$D27)</f>
        <v>0</v>
      </c>
      <c r="H14" s="37" t="n">
        <f aca="false">G14*(1+Assumptions!$D27)</f>
        <v>0</v>
      </c>
      <c r="I14" s="38" t="n">
        <f aca="false">IF(C14&lt;=0,0,(H14/C14)^(1/$H$5)-1)</f>
        <v>0</v>
      </c>
    </row>
    <row r="15" customFormat="false" ht="15" hidden="false" customHeight="false" outlineLevel="0" collapsed="false">
      <c r="B15" s="6" t="str">
        <f aca="false">IF(Assumptions!$B28="","",Assumptions!$B28)</f>
        <v/>
      </c>
      <c r="C15" s="36" t="n">
        <f aca="false">Assumptions!$C28</f>
        <v>0</v>
      </c>
      <c r="D15" s="37" t="n">
        <f aca="false">C15*(1+Assumptions!$D28)</f>
        <v>0</v>
      </c>
      <c r="E15" s="37" t="n">
        <f aca="false">D15*(1+Assumptions!$D28)</f>
        <v>0</v>
      </c>
      <c r="F15" s="37" t="n">
        <f aca="false">E15*(1+Assumptions!$D28)</f>
        <v>0</v>
      </c>
      <c r="G15" s="37" t="n">
        <f aca="false">F15*(1+Assumptions!$D28)</f>
        <v>0</v>
      </c>
      <c r="H15" s="37" t="n">
        <f aca="false">G15*(1+Assumptions!$D28)</f>
        <v>0</v>
      </c>
      <c r="I15" s="38" t="n">
        <f aca="false">IF(C15&lt;=0,0,(H15/C15)^(1/$H$5)-1)</f>
        <v>0</v>
      </c>
    </row>
    <row r="16" customFormat="false" ht="15" hidden="false" customHeight="false" outlineLevel="0" collapsed="false">
      <c r="B16" s="17" t="s">
        <v>89</v>
      </c>
      <c r="C16" s="18" t="n">
        <f aca="false">SUM(C8:C15)</f>
        <v>2000</v>
      </c>
      <c r="D16" s="18" t="n">
        <f aca="false">SUM(D8:D15)</f>
        <v>2141.5</v>
      </c>
      <c r="E16" s="18" t="n">
        <f aca="false">SUM(E8:E15)</f>
        <v>2293.955</v>
      </c>
      <c r="F16" s="18" t="n">
        <f aca="false">SUM(F8:F15)</f>
        <v>2458.27825</v>
      </c>
      <c r="G16" s="18" t="n">
        <f aca="false">SUM(G8:G15)</f>
        <v>2635.4636735</v>
      </c>
      <c r="H16" s="18" t="n">
        <f aca="false">SUM(H8:H15)</f>
        <v>2826.593304265</v>
      </c>
      <c r="I16" s="19" t="n">
        <f aca="false">IF(C16&lt;=0,0,(H16/C16)^(1/$H$5)-1)</f>
        <v>0.071634448875455</v>
      </c>
    </row>
    <row r="17" customFormat="false" ht="15" hidden="false" customHeight="false" outlineLevel="0" collapsed="false">
      <c r="B17" s="2" t="s">
        <v>90</v>
      </c>
      <c r="D17" s="39" t="n">
        <f aca="false">IF(C16=0,0,D16/C16-1)</f>
        <v>0.0707500000000001</v>
      </c>
      <c r="E17" s="39" t="n">
        <f aca="false">IF(D16=0,0,E16/D16-1)</f>
        <v>0.0711907541442918</v>
      </c>
      <c r="F17" s="39" t="n">
        <f aca="false">IF(E16=0,0,F16/E16-1)</f>
        <v>0.0716331619408401</v>
      </c>
      <c r="G17" s="39" t="n">
        <f aca="false">IF(F16=0,0,G16/F16-1)</f>
        <v>0.0720770415228627</v>
      </c>
      <c r="H17" s="39" t="n">
        <f aca="false">IF(G16=0,0,H16/G16-1)</f>
        <v>0.0725222027102246</v>
      </c>
    </row>
    <row r="19" customFormat="false" ht="15" hidden="false" customHeight="false" outlineLevel="0" collapsed="false">
      <c r="B19" s="7" t="s">
        <v>91</v>
      </c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B20" s="6" t="str">
        <f aca="false">IF(Assumptions!$B21="","",Assumptions!$B21)</f>
        <v>Products</v>
      </c>
      <c r="C20" s="37" t="n">
        <f aca="false">C8*Assumptions!$E21</f>
        <v>264</v>
      </c>
      <c r="D20" s="37" t="n">
        <f aca="false">D8*Assumptions!$E21</f>
        <v>279.84</v>
      </c>
      <c r="E20" s="37" t="n">
        <f aca="false">E8*Assumptions!$E21</f>
        <v>296.6304</v>
      </c>
      <c r="F20" s="37" t="n">
        <f aca="false">F8*Assumptions!$E21</f>
        <v>314.428224</v>
      </c>
      <c r="G20" s="37" t="n">
        <f aca="false">G8*Assumptions!$E21</f>
        <v>333.29391744</v>
      </c>
      <c r="H20" s="37" t="n">
        <f aca="false">H8*Assumptions!$E21</f>
        <v>353.2915524864</v>
      </c>
      <c r="I20" s="38" t="n">
        <f aca="false">IF(C20&lt;=0,0,(H20/C20)^(1/$H$5)-1)</f>
        <v>0.0600000000000001</v>
      </c>
    </row>
    <row r="21" customFormat="false" ht="15" hidden="false" customHeight="false" outlineLevel="0" collapsed="false">
      <c r="B21" s="6" t="str">
        <f aca="false">IF(Assumptions!$B22="","",Assumptions!$B22)</f>
        <v>Services</v>
      </c>
      <c r="C21" s="37" t="n">
        <f aca="false">C9*Assumptions!$E22</f>
        <v>195</v>
      </c>
      <c r="D21" s="37" t="n">
        <f aca="false">D9*Assumptions!$E22</f>
        <v>214.5</v>
      </c>
      <c r="E21" s="37" t="n">
        <f aca="false">E9*Assumptions!$E22</f>
        <v>235.95</v>
      </c>
      <c r="F21" s="37" t="n">
        <f aca="false">F9*Assumptions!$E22</f>
        <v>259.545</v>
      </c>
      <c r="G21" s="37" t="n">
        <f aca="false">G9*Assumptions!$E22</f>
        <v>285.4995</v>
      </c>
      <c r="H21" s="37" t="n">
        <f aca="false">H9*Assumptions!$E22</f>
        <v>314.04945</v>
      </c>
      <c r="I21" s="38" t="n">
        <f aca="false">IF(C21&lt;=0,0,(H21/C21)^(1/$H$5)-1)</f>
        <v>0.1</v>
      </c>
    </row>
    <row r="22" customFormat="false" ht="15" hidden="false" customHeight="false" outlineLevel="0" collapsed="false">
      <c r="B22" s="6" t="str">
        <f aca="false">IF(Assumptions!$B23="","",Assumptions!$B23)</f>
        <v>Licensing &amp; Other</v>
      </c>
      <c r="C22" s="37" t="n">
        <f aca="false">C10*Assumptions!$E23</f>
        <v>12</v>
      </c>
      <c r="D22" s="37" t="n">
        <f aca="false">D10*Assumptions!$E23</f>
        <v>12.36</v>
      </c>
      <c r="E22" s="37" t="n">
        <f aca="false">E10*Assumptions!$E23</f>
        <v>12.7308</v>
      </c>
      <c r="F22" s="37" t="n">
        <f aca="false">F10*Assumptions!$E23</f>
        <v>13.112724</v>
      </c>
      <c r="G22" s="37" t="n">
        <f aca="false">G10*Assumptions!$E23</f>
        <v>13.50610572</v>
      </c>
      <c r="H22" s="37" t="n">
        <f aca="false">H10*Assumptions!$E23</f>
        <v>13.9112888916</v>
      </c>
      <c r="I22" s="38" t="n">
        <f aca="false">IF(C22&lt;=0,0,(H22/C22)^(1/$H$5)-1)</f>
        <v>0.03</v>
      </c>
    </row>
    <row r="23" customFormat="false" ht="15" hidden="false" customHeight="false" outlineLevel="0" collapsed="false">
      <c r="B23" s="6" t="str">
        <f aca="false">IF(Assumptions!$B24="","",Assumptions!$B24)</f>
        <v/>
      </c>
      <c r="C23" s="37" t="n">
        <f aca="false">C11*Assumptions!$E24</f>
        <v>0</v>
      </c>
      <c r="D23" s="37" t="n">
        <f aca="false">D11*Assumptions!$E24</f>
        <v>0</v>
      </c>
      <c r="E23" s="37" t="n">
        <f aca="false">E11*Assumptions!$E24</f>
        <v>0</v>
      </c>
      <c r="F23" s="37" t="n">
        <f aca="false">F11*Assumptions!$E24</f>
        <v>0</v>
      </c>
      <c r="G23" s="37" t="n">
        <f aca="false">G11*Assumptions!$E24</f>
        <v>0</v>
      </c>
      <c r="H23" s="37" t="n">
        <f aca="false">H11*Assumptions!$E24</f>
        <v>0</v>
      </c>
      <c r="I23" s="38" t="n">
        <f aca="false">IF(C23&lt;=0,0,(H23/C23)^(1/$H$5)-1)</f>
        <v>0</v>
      </c>
    </row>
    <row r="24" customFormat="false" ht="15" hidden="false" customHeight="false" outlineLevel="0" collapsed="false">
      <c r="B24" s="6" t="str">
        <f aca="false">IF(Assumptions!$B25="","",Assumptions!$B25)</f>
        <v/>
      </c>
      <c r="C24" s="37" t="n">
        <f aca="false">C12*Assumptions!$E25</f>
        <v>0</v>
      </c>
      <c r="D24" s="37" t="n">
        <f aca="false">D12*Assumptions!$E25</f>
        <v>0</v>
      </c>
      <c r="E24" s="37" t="n">
        <f aca="false">E12*Assumptions!$E25</f>
        <v>0</v>
      </c>
      <c r="F24" s="37" t="n">
        <f aca="false">F12*Assumptions!$E25</f>
        <v>0</v>
      </c>
      <c r="G24" s="37" t="n">
        <f aca="false">G12*Assumptions!$E25</f>
        <v>0</v>
      </c>
      <c r="H24" s="37" t="n">
        <f aca="false">H12*Assumptions!$E25</f>
        <v>0</v>
      </c>
      <c r="I24" s="38" t="n">
        <f aca="false">IF(C24&lt;=0,0,(H24/C24)^(1/$H$5)-1)</f>
        <v>0</v>
      </c>
    </row>
    <row r="25" customFormat="false" ht="15" hidden="false" customHeight="false" outlineLevel="0" collapsed="false">
      <c r="B25" s="6" t="str">
        <f aca="false">IF(Assumptions!$B26="","",Assumptions!$B26)</f>
        <v/>
      </c>
      <c r="C25" s="37" t="n">
        <f aca="false">C13*Assumptions!$E26</f>
        <v>0</v>
      </c>
      <c r="D25" s="37" t="n">
        <f aca="false">D13*Assumptions!$E26</f>
        <v>0</v>
      </c>
      <c r="E25" s="37" t="n">
        <f aca="false">E13*Assumptions!$E26</f>
        <v>0</v>
      </c>
      <c r="F25" s="37" t="n">
        <f aca="false">F13*Assumptions!$E26</f>
        <v>0</v>
      </c>
      <c r="G25" s="37" t="n">
        <f aca="false">G13*Assumptions!$E26</f>
        <v>0</v>
      </c>
      <c r="H25" s="37" t="n">
        <f aca="false">H13*Assumptions!$E26</f>
        <v>0</v>
      </c>
      <c r="I25" s="38" t="n">
        <f aca="false">IF(C25&lt;=0,0,(H25/C25)^(1/$H$5)-1)</f>
        <v>0</v>
      </c>
    </row>
    <row r="26" customFormat="false" ht="15" hidden="false" customHeight="false" outlineLevel="0" collapsed="false">
      <c r="B26" s="6" t="str">
        <f aca="false">IF(Assumptions!$B27="","",Assumptions!$B27)</f>
        <v/>
      </c>
      <c r="C26" s="37" t="n">
        <f aca="false">C14*Assumptions!$E27</f>
        <v>0</v>
      </c>
      <c r="D26" s="37" t="n">
        <f aca="false">D14*Assumptions!$E27</f>
        <v>0</v>
      </c>
      <c r="E26" s="37" t="n">
        <f aca="false">E14*Assumptions!$E27</f>
        <v>0</v>
      </c>
      <c r="F26" s="37" t="n">
        <f aca="false">F14*Assumptions!$E27</f>
        <v>0</v>
      </c>
      <c r="G26" s="37" t="n">
        <f aca="false">G14*Assumptions!$E27</f>
        <v>0</v>
      </c>
      <c r="H26" s="37" t="n">
        <f aca="false">H14*Assumptions!$E27</f>
        <v>0</v>
      </c>
      <c r="I26" s="38" t="n">
        <f aca="false">IF(C26&lt;=0,0,(H26/C26)^(1/$H$5)-1)</f>
        <v>0</v>
      </c>
    </row>
    <row r="27" customFormat="false" ht="15" hidden="false" customHeight="false" outlineLevel="0" collapsed="false">
      <c r="B27" s="6" t="str">
        <f aca="false">IF(Assumptions!$B28="","",Assumptions!$B28)</f>
        <v/>
      </c>
      <c r="C27" s="37" t="n">
        <f aca="false">C15*Assumptions!$E28</f>
        <v>0</v>
      </c>
      <c r="D27" s="37" t="n">
        <f aca="false">D15*Assumptions!$E28</f>
        <v>0</v>
      </c>
      <c r="E27" s="37" t="n">
        <f aca="false">E15*Assumptions!$E28</f>
        <v>0</v>
      </c>
      <c r="F27" s="37" t="n">
        <f aca="false">F15*Assumptions!$E28</f>
        <v>0</v>
      </c>
      <c r="G27" s="37" t="n">
        <f aca="false">G15*Assumptions!$E28</f>
        <v>0</v>
      </c>
      <c r="H27" s="37" t="n">
        <f aca="false">H15*Assumptions!$E28</f>
        <v>0</v>
      </c>
      <c r="I27" s="38" t="n">
        <f aca="false">IF(C27&lt;=0,0,(H27/C27)^(1/$H$5)-1)</f>
        <v>0</v>
      </c>
    </row>
    <row r="28" customFormat="false" ht="15" hidden="false" customHeight="false" outlineLevel="0" collapsed="false">
      <c r="B28" s="17" t="s">
        <v>92</v>
      </c>
      <c r="C28" s="18" t="n">
        <f aca="false">SUM(C20:C27)</f>
        <v>471</v>
      </c>
      <c r="D28" s="18" t="n">
        <f aca="false">SUM(D20:D27)</f>
        <v>506.7</v>
      </c>
      <c r="E28" s="18" t="n">
        <f aca="false">SUM(E20:E27)</f>
        <v>545.3112</v>
      </c>
      <c r="F28" s="18" t="n">
        <f aca="false">SUM(F20:F27)</f>
        <v>587.085948</v>
      </c>
      <c r="G28" s="18" t="n">
        <f aca="false">SUM(G20:G27)</f>
        <v>632.29952316</v>
      </c>
      <c r="H28" s="18" t="n">
        <f aca="false">SUM(H20:H27)</f>
        <v>681.252291378</v>
      </c>
      <c r="I28" s="19" t="n">
        <f aca="false">IF(C28&lt;=0,0,(H28/C28)^(1/$H$5)-1)</f>
        <v>0.0766075318601782</v>
      </c>
    </row>
    <row r="29" customFormat="false" ht="15" hidden="false" customHeight="false" outlineLevel="0" collapsed="false">
      <c r="B29" s="2" t="s">
        <v>93</v>
      </c>
      <c r="C29" s="39" t="n">
        <f aca="false">IF(C16=0,0,C28/C16)</f>
        <v>0.2355</v>
      </c>
      <c r="D29" s="39" t="n">
        <f aca="false">IF(D16=0,0,D28/D16)</f>
        <v>0.236609852906841</v>
      </c>
      <c r="E29" s="39" t="n">
        <f aca="false">IF(E16=0,0,E28/E16)</f>
        <v>0.237716607344085</v>
      </c>
      <c r="F29" s="39" t="n">
        <f aca="false">IF(F16=0,0,F28/F16)</f>
        <v>0.238819974101793</v>
      </c>
      <c r="G29" s="39" t="n">
        <f aca="false">IF(G16=0,0,G28/G16)</f>
        <v>0.239919650389368</v>
      </c>
      <c r="H29" s="39" t="n">
        <f aca="false">IF(H16=0,0,H28/H16)</f>
        <v>0.241015320580456</v>
      </c>
    </row>
    <row r="31" customFormat="false" ht="15" hidden="false" customHeight="false" outlineLevel="0" collapsed="false">
      <c r="B31" s="7" t="s">
        <v>94</v>
      </c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B32" s="3" t="s">
        <v>89</v>
      </c>
      <c r="C32" s="40" t="n">
        <f aca="false">C16</f>
        <v>2000</v>
      </c>
      <c r="D32" s="40" t="n">
        <f aca="false">D16</f>
        <v>2141.5</v>
      </c>
      <c r="E32" s="40" t="n">
        <f aca="false">E16</f>
        <v>2293.955</v>
      </c>
      <c r="F32" s="40" t="n">
        <f aca="false">F16</f>
        <v>2458.27825</v>
      </c>
      <c r="G32" s="40" t="n">
        <f aca="false">G16</f>
        <v>2635.4636735</v>
      </c>
      <c r="H32" s="40" t="n">
        <f aca="false">H16</f>
        <v>2826.593304265</v>
      </c>
      <c r="I32" s="41" t="n">
        <f aca="false">IF(C32&lt;=0,0,(H32/C32)^(1/$H$5)-1)</f>
        <v>0.071634448875455</v>
      </c>
    </row>
    <row r="33" customFormat="false" ht="15" hidden="false" customHeight="false" outlineLevel="0" collapsed="false">
      <c r="B33" s="2" t="s">
        <v>90</v>
      </c>
      <c r="D33" s="39" t="n">
        <f aca="false">D17</f>
        <v>0.0707500000000001</v>
      </c>
      <c r="E33" s="39" t="n">
        <f aca="false">E17</f>
        <v>0.0711907541442918</v>
      </c>
      <c r="F33" s="39" t="n">
        <f aca="false">F17</f>
        <v>0.0716331619408401</v>
      </c>
      <c r="G33" s="39" t="n">
        <f aca="false">G17</f>
        <v>0.0720770415228627</v>
      </c>
      <c r="H33" s="39" t="n">
        <f aca="false">H17</f>
        <v>0.0725222027102246</v>
      </c>
    </row>
    <row r="34" customFormat="false" ht="15" hidden="false" customHeight="false" outlineLevel="0" collapsed="false">
      <c r="B34" s="3" t="s">
        <v>95</v>
      </c>
      <c r="C34" s="40" t="n">
        <f aca="false">C28</f>
        <v>471</v>
      </c>
      <c r="D34" s="40" t="n">
        <f aca="false">D28</f>
        <v>506.7</v>
      </c>
      <c r="E34" s="40" t="n">
        <f aca="false">E28</f>
        <v>545.3112</v>
      </c>
      <c r="F34" s="40" t="n">
        <f aca="false">F28</f>
        <v>587.085948</v>
      </c>
      <c r="G34" s="40" t="n">
        <f aca="false">G28</f>
        <v>632.29952316</v>
      </c>
      <c r="H34" s="40" t="n">
        <f aca="false">H28</f>
        <v>681.252291378</v>
      </c>
      <c r="I34" s="41" t="n">
        <f aca="false">IF(C34&lt;=0,0,(H34/C34)^(1/$H$5)-1)</f>
        <v>0.0766075318601782</v>
      </c>
    </row>
    <row r="35" customFormat="false" ht="15" hidden="false" customHeight="false" outlineLevel="0" collapsed="false">
      <c r="B35" s="2" t="s">
        <v>93</v>
      </c>
      <c r="C35" s="39" t="n">
        <f aca="false">C29</f>
        <v>0.2355</v>
      </c>
      <c r="D35" s="39" t="n">
        <f aca="false">D29</f>
        <v>0.236609852906841</v>
      </c>
      <c r="E35" s="39" t="n">
        <f aca="false">E29</f>
        <v>0.237716607344085</v>
      </c>
      <c r="F35" s="39" t="n">
        <f aca="false">F29</f>
        <v>0.238819974101793</v>
      </c>
      <c r="G35" s="39" t="n">
        <f aca="false">G29</f>
        <v>0.239919650389368</v>
      </c>
      <c r="H35" s="39" t="n">
        <f aca="false">H29</f>
        <v>0.241015320580456</v>
      </c>
    </row>
    <row r="37" customFormat="false" ht="15" hidden="false" customHeight="false" outlineLevel="0" collapsed="false">
      <c r="B37" s="2" t="s">
        <v>96</v>
      </c>
      <c r="C37" s="3" t="str">
        <f aca="false">IF(ABS(C32-Assumptions!$C$29)&lt;0.001,"OK","ERROR")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8" min="3" style="0" width="13"/>
  </cols>
  <sheetData>
    <row r="1" customFormat="false" ht="17.35" hidden="false" customHeight="false" outlineLevel="0" collapsed="false">
      <c r="B1" s="1" t="str">
        <f aca="false">CompanyName&amp;" - Working Capital Schedule"</f>
        <v>Example Co. - Working Capital Schedule</v>
      </c>
    </row>
    <row r="2" customFormat="false" ht="15" hidden="false" customHeight="false" outlineLevel="0" collapsed="false">
      <c r="B2" s="2" t="str">
        <f aca="false">"("&amp;Units&amp;"; drivers link to the Assumptions and Segment_Revenue tabs)"</f>
        <v>($ in millions; drivers link to the Assumptions and Segment_Revenue tabs)</v>
      </c>
    </row>
    <row r="4" customFormat="false" ht="15" hidden="false" customHeight="false" outlineLevel="0" collapsed="false">
      <c r="B4" s="21" t="s">
        <v>47</v>
      </c>
      <c r="C4" s="22" t="str">
        <f aca="false">Segment_Revenue!C$4</f>
        <v>FY2025A</v>
      </c>
      <c r="D4" s="22" t="str">
        <f aca="false">Segment_Revenue!D$4</f>
        <v>FY2026E</v>
      </c>
      <c r="E4" s="22" t="str">
        <f aca="false">Segment_Revenue!E$4</f>
        <v>FY2027E</v>
      </c>
      <c r="F4" s="22" t="str">
        <f aca="false">Segment_Revenue!F$4</f>
        <v>FY2028E</v>
      </c>
      <c r="G4" s="22" t="str">
        <f aca="false">Segment_Revenue!G$4</f>
        <v>FY2029E</v>
      </c>
      <c r="H4" s="22" t="str">
        <f aca="false">Segment_Revenue!H$4</f>
        <v>FY2030E</v>
      </c>
    </row>
    <row r="5" customFormat="false" ht="15" hidden="false" customHeight="false" outlineLevel="0" collapsed="false">
      <c r="B5" s="2" t="s">
        <v>87</v>
      </c>
      <c r="C5" s="42" t="n">
        <f aca="false">Segment_Revenue!C$5</f>
        <v>0</v>
      </c>
      <c r="D5" s="42" t="n">
        <f aca="false">Segment_Revenue!D$5</f>
        <v>1</v>
      </c>
      <c r="E5" s="42" t="n">
        <f aca="false">Segment_Revenue!E$5</f>
        <v>2</v>
      </c>
      <c r="F5" s="42" t="n">
        <f aca="false">Segment_Revenue!F$5</f>
        <v>3</v>
      </c>
      <c r="G5" s="42" t="n">
        <f aca="false">Segment_Revenue!G$5</f>
        <v>4</v>
      </c>
      <c r="H5" s="42" t="n">
        <f aca="false">Segment_Revenue!H$5</f>
        <v>5</v>
      </c>
    </row>
    <row r="7" customFormat="false" ht="15" hidden="false" customHeight="false" outlineLevel="0" collapsed="false">
      <c r="B7" s="7" t="s">
        <v>97</v>
      </c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B8" s="5" t="s">
        <v>89</v>
      </c>
      <c r="C8" s="36" t="n">
        <f aca="false">Segment_Revenue!C32</f>
        <v>2000</v>
      </c>
      <c r="D8" s="36" t="n">
        <f aca="false">Segment_Revenue!D32</f>
        <v>2141.5</v>
      </c>
      <c r="E8" s="36" t="n">
        <f aca="false">Segment_Revenue!E32</f>
        <v>2293.955</v>
      </c>
      <c r="F8" s="36" t="n">
        <f aca="false">Segment_Revenue!F32</f>
        <v>2458.27825</v>
      </c>
      <c r="G8" s="36" t="n">
        <f aca="false">Segment_Revenue!G32</f>
        <v>2635.4636735</v>
      </c>
      <c r="H8" s="36" t="n">
        <f aca="false">Segment_Revenue!H32</f>
        <v>2826.593304265</v>
      </c>
    </row>
    <row r="9" customFormat="false" ht="15" hidden="false" customHeight="false" outlineLevel="0" collapsed="false">
      <c r="B9" s="2" t="s">
        <v>98</v>
      </c>
      <c r="C9" s="43" t="n">
        <f aca="false">Assumptions!C40</f>
        <v>0.55</v>
      </c>
      <c r="D9" s="43" t="n">
        <f aca="false">Assumptions!D40</f>
        <v>0.55</v>
      </c>
      <c r="E9" s="43" t="n">
        <f aca="false">Assumptions!E40</f>
        <v>0.55</v>
      </c>
      <c r="F9" s="43" t="n">
        <f aca="false">Assumptions!F40</f>
        <v>0.55</v>
      </c>
      <c r="G9" s="43" t="n">
        <f aca="false">Assumptions!G40</f>
        <v>0.55</v>
      </c>
      <c r="H9" s="43" t="n">
        <f aca="false">Assumptions!H40</f>
        <v>0.55</v>
      </c>
    </row>
    <row r="10" customFormat="false" ht="15" hidden="false" customHeight="false" outlineLevel="0" collapsed="false">
      <c r="B10" s="5" t="s">
        <v>99</v>
      </c>
      <c r="C10" s="37" t="n">
        <f aca="false">C8*C9</f>
        <v>1100</v>
      </c>
      <c r="D10" s="37" t="n">
        <f aca="false">D8*D9</f>
        <v>1177.825</v>
      </c>
      <c r="E10" s="37" t="n">
        <f aca="false">E8*E9</f>
        <v>1261.67525</v>
      </c>
      <c r="F10" s="37" t="n">
        <f aca="false">F8*F9</f>
        <v>1352.0530375</v>
      </c>
      <c r="G10" s="37" t="n">
        <f aca="false">G8*G9</f>
        <v>1449.505020425</v>
      </c>
      <c r="H10" s="37" t="n">
        <f aca="false">H8*H9</f>
        <v>1554.62631734575</v>
      </c>
    </row>
    <row r="11" customFormat="false" ht="15" hidden="false" customHeight="false" outlineLevel="0" collapsed="false">
      <c r="B11" s="5" t="s">
        <v>100</v>
      </c>
      <c r="C11" s="24" t="n">
        <f aca="false">Assumptions!C41</f>
        <v>45</v>
      </c>
      <c r="D11" s="24" t="n">
        <f aca="false">Assumptions!D41</f>
        <v>45</v>
      </c>
      <c r="E11" s="24" t="n">
        <f aca="false">Assumptions!E41</f>
        <v>44</v>
      </c>
      <c r="F11" s="24" t="n">
        <f aca="false">Assumptions!F41</f>
        <v>44</v>
      </c>
      <c r="G11" s="24" t="n">
        <f aca="false">Assumptions!G41</f>
        <v>43</v>
      </c>
      <c r="H11" s="24" t="n">
        <f aca="false">Assumptions!H41</f>
        <v>43</v>
      </c>
    </row>
    <row r="12" customFormat="false" ht="15" hidden="false" customHeight="false" outlineLevel="0" collapsed="false">
      <c r="B12" s="5" t="s">
        <v>101</v>
      </c>
      <c r="C12" s="24" t="n">
        <f aca="false">Assumptions!C42</f>
        <v>60</v>
      </c>
      <c r="D12" s="24" t="n">
        <f aca="false">Assumptions!D42</f>
        <v>60</v>
      </c>
      <c r="E12" s="24" t="n">
        <f aca="false">Assumptions!E42</f>
        <v>58</v>
      </c>
      <c r="F12" s="24" t="n">
        <f aca="false">Assumptions!F42</f>
        <v>57</v>
      </c>
      <c r="G12" s="24" t="n">
        <f aca="false">Assumptions!G42</f>
        <v>56</v>
      </c>
      <c r="H12" s="24" t="n">
        <f aca="false">Assumptions!H42</f>
        <v>55</v>
      </c>
    </row>
    <row r="13" customFormat="false" ht="15" hidden="false" customHeight="false" outlineLevel="0" collapsed="false">
      <c r="B13" s="5" t="s">
        <v>102</v>
      </c>
      <c r="C13" s="24" t="n">
        <f aca="false">Assumptions!C43</f>
        <v>40</v>
      </c>
      <c r="D13" s="24" t="n">
        <f aca="false">Assumptions!D43</f>
        <v>40</v>
      </c>
      <c r="E13" s="24" t="n">
        <f aca="false">Assumptions!E43</f>
        <v>40</v>
      </c>
      <c r="F13" s="24" t="n">
        <f aca="false">Assumptions!F43</f>
        <v>40</v>
      </c>
      <c r="G13" s="24" t="n">
        <f aca="false">Assumptions!G43</f>
        <v>40</v>
      </c>
      <c r="H13" s="24" t="n">
        <f aca="false">Assumptions!H43</f>
        <v>40</v>
      </c>
    </row>
    <row r="15" customFormat="false" ht="15" hidden="false" customHeight="false" outlineLevel="0" collapsed="false">
      <c r="B15" s="7" t="s">
        <v>103</v>
      </c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5" t="s">
        <v>59</v>
      </c>
      <c r="C16" s="36" t="n">
        <f aca="false">Assumptions!$C$46</f>
        <v>245</v>
      </c>
      <c r="D16" s="37" t="n">
        <f aca="false">D11*D8/Assumptions!$C$44</f>
        <v>264.020547945205</v>
      </c>
      <c r="E16" s="37" t="n">
        <f aca="false">E11*E8/Assumptions!$C$44</f>
        <v>276.531561643836</v>
      </c>
      <c r="F16" s="37" t="n">
        <f aca="false">F11*F8/Assumptions!$C$44</f>
        <v>296.340391780822</v>
      </c>
      <c r="G16" s="37" t="n">
        <f aca="false">G11*G8/Assumptions!$C$44</f>
        <v>310.479282083562</v>
      </c>
      <c r="H16" s="37" t="n">
        <f aca="false">H11*H8/Assumptions!$C$44</f>
        <v>332.995923516151</v>
      </c>
    </row>
    <row r="17" customFormat="false" ht="15" hidden="false" customHeight="false" outlineLevel="0" collapsed="false">
      <c r="B17" s="5" t="s">
        <v>61</v>
      </c>
      <c r="C17" s="36" t="n">
        <f aca="false">Assumptions!$C$47</f>
        <v>180</v>
      </c>
      <c r="D17" s="37" t="n">
        <f aca="false">D12*D10/Assumptions!$C$44</f>
        <v>193.615068493151</v>
      </c>
      <c r="E17" s="37" t="n">
        <f aca="false">E12*E10/Assumptions!$C$44</f>
        <v>200.485382191781</v>
      </c>
      <c r="F17" s="37" t="n">
        <f aca="false">F12*F10/Assumptions!$C$44</f>
        <v>211.142529143836</v>
      </c>
      <c r="G17" s="37" t="n">
        <f aca="false">G12*G10/Assumptions!$C$44</f>
        <v>222.389811352877</v>
      </c>
      <c r="H17" s="37" t="n">
        <f aca="false">H12*H10/Assumptions!$C$44</f>
        <v>234.25876014799</v>
      </c>
    </row>
    <row r="18" customFormat="false" ht="15" hidden="false" customHeight="false" outlineLevel="0" collapsed="false">
      <c r="B18" s="5" t="s">
        <v>62</v>
      </c>
      <c r="C18" s="36" t="n">
        <f aca="false">Assumptions!$C$48</f>
        <v>120</v>
      </c>
      <c r="D18" s="37" t="n">
        <f aca="false">D13*D10/Assumptions!$C$44</f>
        <v>129.076712328767</v>
      </c>
      <c r="E18" s="37" t="n">
        <f aca="false">E13*E10/Assumptions!$C$44</f>
        <v>138.265780821918</v>
      </c>
      <c r="F18" s="37" t="n">
        <f aca="false">F13*F10/Assumptions!$C$44</f>
        <v>148.170195890411</v>
      </c>
      <c r="G18" s="37" t="n">
        <f aca="false">G13*G10/Assumptions!$C$44</f>
        <v>158.849865252055</v>
      </c>
      <c r="H18" s="37" t="n">
        <f aca="false">H13*H10/Assumptions!$C$44</f>
        <v>170.370007380356</v>
      </c>
    </row>
    <row r="19" customFormat="false" ht="15" hidden="false" customHeight="false" outlineLevel="0" collapsed="false">
      <c r="B19" s="17" t="s">
        <v>104</v>
      </c>
      <c r="C19" s="18" t="n">
        <f aca="false">C16+C17-C18</f>
        <v>305</v>
      </c>
      <c r="D19" s="18" t="n">
        <f aca="false">D16+D17-D18</f>
        <v>328.558904109589</v>
      </c>
      <c r="E19" s="18" t="n">
        <f aca="false">E16+E17-E18</f>
        <v>338.751163013699</v>
      </c>
      <c r="F19" s="18" t="n">
        <f aca="false">F16+F17-F18</f>
        <v>359.312725034247</v>
      </c>
      <c r="G19" s="18" t="n">
        <f aca="false">G16+G17-G18</f>
        <v>374.019228184384</v>
      </c>
      <c r="H19" s="18" t="n">
        <f aca="false">H16+H17-H18</f>
        <v>396.884676283784</v>
      </c>
    </row>
    <row r="20" customFormat="false" ht="15" hidden="false" customHeight="false" outlineLevel="0" collapsed="false">
      <c r="B20" s="2" t="s">
        <v>105</v>
      </c>
      <c r="C20" s="39" t="n">
        <f aca="false">IF(C8=0,0,C19/C8)</f>
        <v>0.1525</v>
      </c>
      <c r="D20" s="39" t="n">
        <f aca="false">IF(D8=0,0,D19/D8)</f>
        <v>0.153424657534247</v>
      </c>
      <c r="E20" s="39" t="n">
        <f aca="false">IF(E8=0,0,E19/E8)</f>
        <v>0.147671232876712</v>
      </c>
      <c r="F20" s="39" t="n">
        <f aca="false">IF(F8=0,0,F19/F8)</f>
        <v>0.146164383561644</v>
      </c>
      <c r="G20" s="39" t="n">
        <f aca="false">IF(G8=0,0,G19/G8)</f>
        <v>0.141917808219178</v>
      </c>
      <c r="H20" s="39" t="n">
        <f aca="false">IF(H8=0,0,H19/H8)</f>
        <v>0.14041095890411</v>
      </c>
    </row>
    <row r="22" customFormat="false" ht="15" hidden="false" customHeight="false" outlineLevel="0" collapsed="false">
      <c r="B22" s="7" t="s">
        <v>106</v>
      </c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B23" s="17" t="s">
        <v>107</v>
      </c>
      <c r="C23" s="20"/>
      <c r="D23" s="18" t="n">
        <f aca="false">D19-C19</f>
        <v>23.558904109589</v>
      </c>
      <c r="E23" s="18" t="n">
        <f aca="false">E19-D19</f>
        <v>10.1922589041097</v>
      </c>
      <c r="F23" s="18" t="n">
        <f aca="false">F19-E19</f>
        <v>20.561562020548</v>
      </c>
      <c r="G23" s="18" t="n">
        <f aca="false">G19-F19</f>
        <v>14.706503150137</v>
      </c>
      <c r="H23" s="18" t="n">
        <f aca="false">H19-G19</f>
        <v>22.8654480994006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8" min="3" style="0" width="13"/>
  </cols>
  <sheetData>
    <row r="1" customFormat="false" ht="17.35" hidden="false" customHeight="false" outlineLevel="0" collapsed="false">
      <c r="B1" s="1" t="str">
        <f aca="false">CompanyName&amp;" - Capital Expenditure Schedule"</f>
        <v>Example Co. - Capital Expenditure Schedule</v>
      </c>
    </row>
    <row r="2" customFormat="false" ht="15" hidden="false" customHeight="false" outlineLevel="0" collapsed="false">
      <c r="B2" s="2" t="str">
        <f aca="false">"("&amp;Units&amp;"; drivers link to the Assumptions and Segment_Revenue tabs)"</f>
        <v>($ in millions; drivers link to the Assumptions and Segment_Revenue tabs)</v>
      </c>
    </row>
    <row r="4" customFormat="false" ht="15" hidden="false" customHeight="false" outlineLevel="0" collapsed="false">
      <c r="B4" s="21" t="s">
        <v>47</v>
      </c>
      <c r="C4" s="22" t="str">
        <f aca="false">Segment_Revenue!C$4</f>
        <v>FY2025A</v>
      </c>
      <c r="D4" s="22" t="str">
        <f aca="false">Segment_Revenue!D$4</f>
        <v>FY2026E</v>
      </c>
      <c r="E4" s="22" t="str">
        <f aca="false">Segment_Revenue!E$4</f>
        <v>FY2027E</v>
      </c>
      <c r="F4" s="22" t="str">
        <f aca="false">Segment_Revenue!F$4</f>
        <v>FY2028E</v>
      </c>
      <c r="G4" s="22" t="str">
        <f aca="false">Segment_Revenue!G$4</f>
        <v>FY2029E</v>
      </c>
      <c r="H4" s="22" t="str">
        <f aca="false">Segment_Revenue!H$4</f>
        <v>FY2030E</v>
      </c>
    </row>
    <row r="5" customFormat="false" ht="15" hidden="false" customHeight="false" outlineLevel="0" collapsed="false">
      <c r="B5" s="2" t="s">
        <v>87</v>
      </c>
      <c r="C5" s="42" t="n">
        <f aca="false">Segment_Revenue!C$5</f>
        <v>0</v>
      </c>
      <c r="D5" s="42" t="n">
        <f aca="false">Segment_Revenue!D$5</f>
        <v>1</v>
      </c>
      <c r="E5" s="42" t="n">
        <f aca="false">Segment_Revenue!E$5</f>
        <v>2</v>
      </c>
      <c r="F5" s="42" t="n">
        <f aca="false">Segment_Revenue!F$5</f>
        <v>3</v>
      </c>
      <c r="G5" s="42" t="n">
        <f aca="false">Segment_Revenue!G$5</f>
        <v>4</v>
      </c>
      <c r="H5" s="42" t="n">
        <f aca="false">Segment_Revenue!H$5</f>
        <v>5</v>
      </c>
    </row>
    <row r="7" customFormat="false" ht="15" hidden="false" customHeight="false" outlineLevel="0" collapsed="false">
      <c r="B7" s="7" t="s">
        <v>108</v>
      </c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B8" s="5" t="s">
        <v>89</v>
      </c>
      <c r="C8" s="36" t="n">
        <f aca="false">Segment_Revenue!C32</f>
        <v>2000</v>
      </c>
      <c r="D8" s="36" t="n">
        <f aca="false">Segment_Revenue!D32</f>
        <v>2141.5</v>
      </c>
      <c r="E8" s="36" t="n">
        <f aca="false">Segment_Revenue!E32</f>
        <v>2293.955</v>
      </c>
      <c r="F8" s="36" t="n">
        <f aca="false">Segment_Revenue!F32</f>
        <v>2458.27825</v>
      </c>
      <c r="G8" s="36" t="n">
        <f aca="false">Segment_Revenue!G32</f>
        <v>2635.4636735</v>
      </c>
      <c r="H8" s="36" t="n">
        <f aca="false">Segment_Revenue!H32</f>
        <v>2826.593304265</v>
      </c>
    </row>
    <row r="9" customFormat="false" ht="15" hidden="false" customHeight="false" outlineLevel="0" collapsed="false">
      <c r="B9" s="2" t="s">
        <v>109</v>
      </c>
      <c r="D9" s="43" t="n">
        <f aca="false">Assumptions!$C$51</f>
        <v>0.03</v>
      </c>
      <c r="E9" s="43" t="n">
        <f aca="false">Assumptions!$C$51</f>
        <v>0.03</v>
      </c>
      <c r="F9" s="43" t="n">
        <f aca="false">Assumptions!$C$51</f>
        <v>0.03</v>
      </c>
      <c r="G9" s="43" t="n">
        <f aca="false">Assumptions!$C$51</f>
        <v>0.03</v>
      </c>
      <c r="H9" s="43" t="n">
        <f aca="false">Assumptions!$C$51</f>
        <v>0.03</v>
      </c>
    </row>
    <row r="10" customFormat="false" ht="15" hidden="false" customHeight="false" outlineLevel="0" collapsed="false">
      <c r="B10" s="5" t="s">
        <v>108</v>
      </c>
      <c r="D10" s="37" t="n">
        <f aca="false">D8*D9</f>
        <v>64.245</v>
      </c>
      <c r="E10" s="37" t="n">
        <f aca="false">E8*E9</f>
        <v>68.81865</v>
      </c>
      <c r="F10" s="37" t="n">
        <f aca="false">F8*F9</f>
        <v>73.7483475</v>
      </c>
      <c r="G10" s="37" t="n">
        <f aca="false">G8*G9</f>
        <v>79.063910205</v>
      </c>
      <c r="H10" s="37" t="n">
        <f aca="false">H8*H9</f>
        <v>84.79779912795</v>
      </c>
    </row>
    <row r="12" customFormat="false" ht="15" hidden="false" customHeight="false" outlineLevel="0" collapsed="false">
      <c r="B12" s="7" t="s">
        <v>110</v>
      </c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B13" s="6" t="str">
        <f aca="false">IF(Assumptions!$B21="","",Assumptions!$B21)</f>
        <v>Products</v>
      </c>
      <c r="D13" s="37" t="n">
        <f aca="false">Segment_Revenue!D8-Segment_Revenue!C8</f>
        <v>72</v>
      </c>
      <c r="E13" s="37" t="n">
        <f aca="false">Segment_Revenue!E8-Segment_Revenue!D8</f>
        <v>76.3200000000002</v>
      </c>
      <c r="F13" s="37" t="n">
        <f aca="false">Segment_Revenue!F8-Segment_Revenue!E8</f>
        <v>80.8992000000001</v>
      </c>
      <c r="G13" s="37" t="n">
        <f aca="false">Segment_Revenue!G8-Segment_Revenue!F8</f>
        <v>85.753152</v>
      </c>
      <c r="H13" s="37" t="n">
        <f aca="false">Segment_Revenue!H8-Segment_Revenue!G8</f>
        <v>90.8983411200002</v>
      </c>
    </row>
    <row r="14" customFormat="false" ht="15" hidden="false" customHeight="false" outlineLevel="0" collapsed="false">
      <c r="B14" s="6" t="str">
        <f aca="false">IF(Assumptions!$B22="","",Assumptions!$B22)</f>
        <v>Services</v>
      </c>
      <c r="D14" s="37" t="n">
        <f aca="false">Segment_Revenue!D9-Segment_Revenue!C9</f>
        <v>65.0000000000001</v>
      </c>
      <c r="E14" s="37" t="n">
        <f aca="false">Segment_Revenue!E9-Segment_Revenue!D9</f>
        <v>71.5000000000001</v>
      </c>
      <c r="F14" s="37" t="n">
        <f aca="false">Segment_Revenue!F9-Segment_Revenue!E9</f>
        <v>78.6500000000001</v>
      </c>
      <c r="G14" s="37" t="n">
        <f aca="false">Segment_Revenue!G9-Segment_Revenue!F9</f>
        <v>86.5150000000001</v>
      </c>
      <c r="H14" s="37" t="n">
        <f aca="false">Segment_Revenue!H9-Segment_Revenue!G9</f>
        <v>95.1665</v>
      </c>
    </row>
    <row r="15" customFormat="false" ht="15" hidden="false" customHeight="false" outlineLevel="0" collapsed="false">
      <c r="B15" s="6" t="str">
        <f aca="false">IF(Assumptions!$B23="","",Assumptions!$B23)</f>
        <v>Licensing &amp; Other</v>
      </c>
      <c r="D15" s="37" t="n">
        <f aca="false">Segment_Revenue!D10-Segment_Revenue!C10</f>
        <v>4.5</v>
      </c>
      <c r="E15" s="37" t="n">
        <f aca="false">Segment_Revenue!E10-Segment_Revenue!D10</f>
        <v>4.63499999999999</v>
      </c>
      <c r="F15" s="37" t="n">
        <f aca="false">Segment_Revenue!F10-Segment_Revenue!E10</f>
        <v>4.77405000000002</v>
      </c>
      <c r="G15" s="37" t="n">
        <f aca="false">Segment_Revenue!G10-Segment_Revenue!F10</f>
        <v>4.9172715</v>
      </c>
      <c r="H15" s="37" t="n">
        <f aca="false">Segment_Revenue!H10-Segment_Revenue!G10</f>
        <v>5.06478964499999</v>
      </c>
    </row>
    <row r="16" customFormat="false" ht="15" hidden="false" customHeight="false" outlineLevel="0" collapsed="false">
      <c r="B16" s="6" t="str">
        <f aca="false">IF(Assumptions!$B24="","",Assumptions!$B24)</f>
        <v/>
      </c>
      <c r="D16" s="37" t="n">
        <f aca="false">Segment_Revenue!D11-Segment_Revenue!C11</f>
        <v>0</v>
      </c>
      <c r="E16" s="37" t="n">
        <f aca="false">Segment_Revenue!E11-Segment_Revenue!D11</f>
        <v>0</v>
      </c>
      <c r="F16" s="37" t="n">
        <f aca="false">Segment_Revenue!F11-Segment_Revenue!E11</f>
        <v>0</v>
      </c>
      <c r="G16" s="37" t="n">
        <f aca="false">Segment_Revenue!G11-Segment_Revenue!F11</f>
        <v>0</v>
      </c>
      <c r="H16" s="37" t="n">
        <f aca="false">Segment_Revenue!H11-Segment_Revenue!G11</f>
        <v>0</v>
      </c>
    </row>
    <row r="17" customFormat="false" ht="15" hidden="false" customHeight="false" outlineLevel="0" collapsed="false">
      <c r="B17" s="6" t="str">
        <f aca="false">IF(Assumptions!$B25="","",Assumptions!$B25)</f>
        <v/>
      </c>
      <c r="D17" s="37" t="n">
        <f aca="false">Segment_Revenue!D12-Segment_Revenue!C12</f>
        <v>0</v>
      </c>
      <c r="E17" s="37" t="n">
        <f aca="false">Segment_Revenue!E12-Segment_Revenue!D12</f>
        <v>0</v>
      </c>
      <c r="F17" s="37" t="n">
        <f aca="false">Segment_Revenue!F12-Segment_Revenue!E12</f>
        <v>0</v>
      </c>
      <c r="G17" s="37" t="n">
        <f aca="false">Segment_Revenue!G12-Segment_Revenue!F12</f>
        <v>0</v>
      </c>
      <c r="H17" s="37" t="n">
        <f aca="false">Segment_Revenue!H12-Segment_Revenue!G12</f>
        <v>0</v>
      </c>
    </row>
    <row r="18" customFormat="false" ht="15" hidden="false" customHeight="false" outlineLevel="0" collapsed="false">
      <c r="B18" s="6" t="str">
        <f aca="false">IF(Assumptions!$B26="","",Assumptions!$B26)</f>
        <v/>
      </c>
      <c r="D18" s="37" t="n">
        <f aca="false">Segment_Revenue!D13-Segment_Revenue!C13</f>
        <v>0</v>
      </c>
      <c r="E18" s="37" t="n">
        <f aca="false">Segment_Revenue!E13-Segment_Revenue!D13</f>
        <v>0</v>
      </c>
      <c r="F18" s="37" t="n">
        <f aca="false">Segment_Revenue!F13-Segment_Revenue!E13</f>
        <v>0</v>
      </c>
      <c r="G18" s="37" t="n">
        <f aca="false">Segment_Revenue!G13-Segment_Revenue!F13</f>
        <v>0</v>
      </c>
      <c r="H18" s="37" t="n">
        <f aca="false">Segment_Revenue!H13-Segment_Revenue!G13</f>
        <v>0</v>
      </c>
    </row>
    <row r="19" customFormat="false" ht="15" hidden="false" customHeight="false" outlineLevel="0" collapsed="false">
      <c r="B19" s="6" t="str">
        <f aca="false">IF(Assumptions!$B27="","",Assumptions!$B27)</f>
        <v/>
      </c>
      <c r="D19" s="37" t="n">
        <f aca="false">Segment_Revenue!D14-Segment_Revenue!C14</f>
        <v>0</v>
      </c>
      <c r="E19" s="37" t="n">
        <f aca="false">Segment_Revenue!E14-Segment_Revenue!D14</f>
        <v>0</v>
      </c>
      <c r="F19" s="37" t="n">
        <f aca="false">Segment_Revenue!F14-Segment_Revenue!E14</f>
        <v>0</v>
      </c>
      <c r="G19" s="37" t="n">
        <f aca="false">Segment_Revenue!G14-Segment_Revenue!F14</f>
        <v>0</v>
      </c>
      <c r="H19" s="37" t="n">
        <f aca="false">Segment_Revenue!H14-Segment_Revenue!G14</f>
        <v>0</v>
      </c>
    </row>
    <row r="20" customFormat="false" ht="15" hidden="false" customHeight="false" outlineLevel="0" collapsed="false">
      <c r="B20" s="6" t="str">
        <f aca="false">IF(Assumptions!$B28="","",Assumptions!$B28)</f>
        <v/>
      </c>
      <c r="D20" s="37" t="n">
        <f aca="false">Segment_Revenue!D15-Segment_Revenue!C15</f>
        <v>0</v>
      </c>
      <c r="E20" s="37" t="n">
        <f aca="false">Segment_Revenue!E15-Segment_Revenue!D15</f>
        <v>0</v>
      </c>
      <c r="F20" s="37" t="n">
        <f aca="false">Segment_Revenue!F15-Segment_Revenue!E15</f>
        <v>0</v>
      </c>
      <c r="G20" s="37" t="n">
        <f aca="false">Segment_Revenue!G15-Segment_Revenue!F15</f>
        <v>0</v>
      </c>
      <c r="H20" s="37" t="n">
        <f aca="false">Segment_Revenue!H15-Segment_Revenue!G15</f>
        <v>0</v>
      </c>
    </row>
    <row r="21" customFormat="false" ht="15" hidden="false" customHeight="false" outlineLevel="0" collapsed="false">
      <c r="B21" s="17" t="s">
        <v>111</v>
      </c>
      <c r="C21" s="20"/>
      <c r="D21" s="18" t="n">
        <f aca="false">SUM(D13:D20)</f>
        <v>141.5</v>
      </c>
      <c r="E21" s="18" t="n">
        <f aca="false">SUM(E13:E20)</f>
        <v>152.455</v>
      </c>
      <c r="F21" s="18" t="n">
        <f aca="false">SUM(F13:F20)</f>
        <v>164.32325</v>
      </c>
      <c r="G21" s="18" t="n">
        <f aca="false">SUM(G13:G20)</f>
        <v>177.1854235</v>
      </c>
      <c r="H21" s="18" t="n">
        <f aca="false">SUM(H13:H20)</f>
        <v>191.129630765</v>
      </c>
    </row>
    <row r="23" customFormat="false" ht="15" hidden="false" customHeight="false" outlineLevel="0" collapsed="false">
      <c r="B23" s="7" t="s">
        <v>112</v>
      </c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B24" s="6" t="str">
        <f aca="false">IF(Assumptions!$B21="","",Assumptions!$B21)</f>
        <v>Products</v>
      </c>
      <c r="D24" s="37" t="n">
        <f aca="false">MAX(0,D13)*Assumptions!$C$53</f>
        <v>18</v>
      </c>
      <c r="E24" s="37" t="n">
        <f aca="false">MAX(0,E13)*Assumptions!$C$53</f>
        <v>19.08</v>
      </c>
      <c r="F24" s="37" t="n">
        <f aca="false">MAX(0,F13)*Assumptions!$C$53</f>
        <v>20.2248</v>
      </c>
      <c r="G24" s="37" t="n">
        <f aca="false">MAX(0,G13)*Assumptions!$C$53</f>
        <v>21.438288</v>
      </c>
      <c r="H24" s="37" t="n">
        <f aca="false">MAX(0,H13)*Assumptions!$C$53</f>
        <v>22.72458528</v>
      </c>
    </row>
    <row r="25" customFormat="false" ht="15" hidden="false" customHeight="false" outlineLevel="0" collapsed="false">
      <c r="B25" s="6" t="str">
        <f aca="false">IF(Assumptions!$B22="","",Assumptions!$B22)</f>
        <v>Services</v>
      </c>
      <c r="D25" s="37" t="n">
        <f aca="false">MAX(0,D14)*Assumptions!$C$54</f>
        <v>9.75000000000002</v>
      </c>
      <c r="E25" s="37" t="n">
        <f aca="false">MAX(0,E14)*Assumptions!$C$54</f>
        <v>10.725</v>
      </c>
      <c r="F25" s="37" t="n">
        <f aca="false">MAX(0,F14)*Assumptions!$C$54</f>
        <v>11.7975</v>
      </c>
      <c r="G25" s="37" t="n">
        <f aca="false">MAX(0,G14)*Assumptions!$C$54</f>
        <v>12.97725</v>
      </c>
      <c r="H25" s="37" t="n">
        <f aca="false">MAX(0,H14)*Assumptions!$C$54</f>
        <v>14.274975</v>
      </c>
    </row>
    <row r="26" customFormat="false" ht="15" hidden="false" customHeight="false" outlineLevel="0" collapsed="false">
      <c r="B26" s="6" t="str">
        <f aca="false">IF(Assumptions!$B23="","",Assumptions!$B23)</f>
        <v>Licensing &amp; Other</v>
      </c>
      <c r="D26" s="37" t="n">
        <f aca="false">MAX(0,D15)*Assumptions!$C$55</f>
        <v>0.45</v>
      </c>
      <c r="E26" s="37" t="n">
        <f aca="false">MAX(0,E15)*Assumptions!$C$55</f>
        <v>0.463499999999999</v>
      </c>
      <c r="F26" s="37" t="n">
        <f aca="false">MAX(0,F15)*Assumptions!$C$55</f>
        <v>0.477405000000002</v>
      </c>
      <c r="G26" s="37" t="n">
        <f aca="false">MAX(0,G15)*Assumptions!$C$55</f>
        <v>0.49172715</v>
      </c>
      <c r="H26" s="37" t="n">
        <f aca="false">MAX(0,H15)*Assumptions!$C$55</f>
        <v>0.506478964499999</v>
      </c>
    </row>
    <row r="27" customFormat="false" ht="15" hidden="false" customHeight="false" outlineLevel="0" collapsed="false">
      <c r="B27" s="6" t="str">
        <f aca="false">IF(Assumptions!$B24="","",Assumptions!$B24)</f>
        <v/>
      </c>
      <c r="D27" s="37" t="n">
        <f aca="false">MAX(0,D16)*Assumptions!$C$56</f>
        <v>0</v>
      </c>
      <c r="E27" s="37" t="n">
        <f aca="false">MAX(0,E16)*Assumptions!$C$56</f>
        <v>0</v>
      </c>
      <c r="F27" s="37" t="n">
        <f aca="false">MAX(0,F16)*Assumptions!$C$56</f>
        <v>0</v>
      </c>
      <c r="G27" s="37" t="n">
        <f aca="false">MAX(0,G16)*Assumptions!$C$56</f>
        <v>0</v>
      </c>
      <c r="H27" s="37" t="n">
        <f aca="false">MAX(0,H16)*Assumptions!$C$56</f>
        <v>0</v>
      </c>
    </row>
    <row r="28" customFormat="false" ht="15" hidden="false" customHeight="false" outlineLevel="0" collapsed="false">
      <c r="B28" s="6" t="str">
        <f aca="false">IF(Assumptions!$B25="","",Assumptions!$B25)</f>
        <v/>
      </c>
      <c r="D28" s="37" t="n">
        <f aca="false">MAX(0,D17)*Assumptions!$C$57</f>
        <v>0</v>
      </c>
      <c r="E28" s="37" t="n">
        <f aca="false">MAX(0,E17)*Assumptions!$C$57</f>
        <v>0</v>
      </c>
      <c r="F28" s="37" t="n">
        <f aca="false">MAX(0,F17)*Assumptions!$C$57</f>
        <v>0</v>
      </c>
      <c r="G28" s="37" t="n">
        <f aca="false">MAX(0,G17)*Assumptions!$C$57</f>
        <v>0</v>
      </c>
      <c r="H28" s="37" t="n">
        <f aca="false">MAX(0,H17)*Assumptions!$C$57</f>
        <v>0</v>
      </c>
    </row>
    <row r="29" customFormat="false" ht="15" hidden="false" customHeight="false" outlineLevel="0" collapsed="false">
      <c r="B29" s="6" t="str">
        <f aca="false">IF(Assumptions!$B26="","",Assumptions!$B26)</f>
        <v/>
      </c>
      <c r="D29" s="37" t="n">
        <f aca="false">MAX(0,D18)*Assumptions!$C$58</f>
        <v>0</v>
      </c>
      <c r="E29" s="37" t="n">
        <f aca="false">MAX(0,E18)*Assumptions!$C$58</f>
        <v>0</v>
      </c>
      <c r="F29" s="37" t="n">
        <f aca="false">MAX(0,F18)*Assumptions!$C$58</f>
        <v>0</v>
      </c>
      <c r="G29" s="37" t="n">
        <f aca="false">MAX(0,G18)*Assumptions!$C$58</f>
        <v>0</v>
      </c>
      <c r="H29" s="37" t="n">
        <f aca="false">MAX(0,H18)*Assumptions!$C$58</f>
        <v>0</v>
      </c>
    </row>
    <row r="30" customFormat="false" ht="15" hidden="false" customHeight="false" outlineLevel="0" collapsed="false">
      <c r="B30" s="6" t="str">
        <f aca="false">IF(Assumptions!$B27="","",Assumptions!$B27)</f>
        <v/>
      </c>
      <c r="D30" s="37" t="n">
        <f aca="false">MAX(0,D19)*Assumptions!$C$59</f>
        <v>0</v>
      </c>
      <c r="E30" s="37" t="n">
        <f aca="false">MAX(0,E19)*Assumptions!$C$59</f>
        <v>0</v>
      </c>
      <c r="F30" s="37" t="n">
        <f aca="false">MAX(0,F19)*Assumptions!$C$59</f>
        <v>0</v>
      </c>
      <c r="G30" s="37" t="n">
        <f aca="false">MAX(0,G19)*Assumptions!$C$59</f>
        <v>0</v>
      </c>
      <c r="H30" s="37" t="n">
        <f aca="false">MAX(0,H19)*Assumptions!$C$59</f>
        <v>0</v>
      </c>
    </row>
    <row r="31" customFormat="false" ht="15" hidden="false" customHeight="false" outlineLevel="0" collapsed="false">
      <c r="B31" s="6" t="str">
        <f aca="false">IF(Assumptions!$B28="","",Assumptions!$B28)</f>
        <v/>
      </c>
      <c r="D31" s="37" t="n">
        <f aca="false">MAX(0,D20)*Assumptions!$C$60</f>
        <v>0</v>
      </c>
      <c r="E31" s="37" t="n">
        <f aca="false">MAX(0,E20)*Assumptions!$C$60</f>
        <v>0</v>
      </c>
      <c r="F31" s="37" t="n">
        <f aca="false">MAX(0,F20)*Assumptions!$C$60</f>
        <v>0</v>
      </c>
      <c r="G31" s="37" t="n">
        <f aca="false">MAX(0,G20)*Assumptions!$C$60</f>
        <v>0</v>
      </c>
      <c r="H31" s="37" t="n">
        <f aca="false">MAX(0,H20)*Assumptions!$C$60</f>
        <v>0</v>
      </c>
    </row>
    <row r="32" customFormat="false" ht="15" hidden="false" customHeight="false" outlineLevel="0" collapsed="false">
      <c r="B32" s="17" t="s">
        <v>113</v>
      </c>
      <c r="C32" s="20"/>
      <c r="D32" s="18" t="n">
        <f aca="false">SUM(D24:D31)</f>
        <v>28.2</v>
      </c>
      <c r="E32" s="18" t="n">
        <f aca="false">SUM(E24:E31)</f>
        <v>30.2685000000001</v>
      </c>
      <c r="F32" s="18" t="n">
        <f aca="false">SUM(F24:F31)</f>
        <v>32.499705</v>
      </c>
      <c r="G32" s="18" t="n">
        <f aca="false">SUM(G24:G31)</f>
        <v>34.90726515</v>
      </c>
      <c r="H32" s="18" t="n">
        <f aca="false">SUM(H24:H31)</f>
        <v>37.5060392445</v>
      </c>
    </row>
    <row r="34" customFormat="false" ht="15" hidden="false" customHeight="false" outlineLevel="0" collapsed="false">
      <c r="B34" s="7" t="s">
        <v>114</v>
      </c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B35" s="5" t="s">
        <v>108</v>
      </c>
      <c r="D35" s="37" t="n">
        <f aca="false">D10</f>
        <v>64.245</v>
      </c>
      <c r="E35" s="37" t="n">
        <f aca="false">E10</f>
        <v>68.81865</v>
      </c>
      <c r="F35" s="37" t="n">
        <f aca="false">F10</f>
        <v>73.7483475</v>
      </c>
      <c r="G35" s="37" t="n">
        <f aca="false">G10</f>
        <v>79.063910205</v>
      </c>
      <c r="H35" s="37" t="n">
        <f aca="false">H10</f>
        <v>84.79779912795</v>
      </c>
    </row>
    <row r="36" customFormat="false" ht="15" hidden="false" customHeight="false" outlineLevel="0" collapsed="false">
      <c r="B36" s="5" t="s">
        <v>115</v>
      </c>
      <c r="D36" s="37" t="n">
        <f aca="false">D32</f>
        <v>28.2</v>
      </c>
      <c r="E36" s="37" t="n">
        <f aca="false">E32</f>
        <v>30.2685000000001</v>
      </c>
      <c r="F36" s="37" t="n">
        <f aca="false">F32</f>
        <v>32.499705</v>
      </c>
      <c r="G36" s="37" t="n">
        <f aca="false">G32</f>
        <v>34.90726515</v>
      </c>
      <c r="H36" s="37" t="n">
        <f aca="false">H32</f>
        <v>37.5060392445</v>
      </c>
    </row>
    <row r="37" customFormat="false" ht="15" hidden="false" customHeight="false" outlineLevel="0" collapsed="false">
      <c r="B37" s="17" t="s">
        <v>116</v>
      </c>
      <c r="C37" s="20"/>
      <c r="D37" s="18" t="n">
        <f aca="false">D35+D36</f>
        <v>92.445</v>
      </c>
      <c r="E37" s="18" t="n">
        <f aca="false">E35+E36</f>
        <v>99.0871500000001</v>
      </c>
      <c r="F37" s="18" t="n">
        <f aca="false">F35+F36</f>
        <v>106.2480525</v>
      </c>
      <c r="G37" s="18" t="n">
        <f aca="false">G35+G36</f>
        <v>113.971175355</v>
      </c>
      <c r="H37" s="18" t="n">
        <f aca="false">H35+H36</f>
        <v>122.30383837245</v>
      </c>
    </row>
    <row r="38" customFormat="false" ht="15" hidden="false" customHeight="false" outlineLevel="0" collapsed="false">
      <c r="B38" s="2" t="s">
        <v>117</v>
      </c>
      <c r="D38" s="39" t="n">
        <f aca="false">IF(D8=0,0,D37/D8)</f>
        <v>0.0431683399486341</v>
      </c>
      <c r="E38" s="39" t="n">
        <f aca="false">IF(E8=0,0,E37/E8)</f>
        <v>0.0431948970228274</v>
      </c>
      <c r="F38" s="39" t="n">
        <f aca="false">IF(F8=0,0,F37/F8)</f>
        <v>0.0432205152122222</v>
      </c>
      <c r="G38" s="39" t="n">
        <f aca="false">IF(G8=0,0,G37/G8)</f>
        <v>0.0432452082345122</v>
      </c>
      <c r="H38" s="39" t="n">
        <f aca="false">IF(H8=0,0,H37/H8)</f>
        <v>0.0432689903382661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</cols>
  <sheetData>
    <row r="1" customFormat="false" ht="17.35" hidden="false" customHeight="false" outlineLevel="0" collapsed="false">
      <c r="B1" s="1" t="str">
        <f aca="false">CompanyName&amp;" - WACC Build"</f>
        <v>Example Co. - WACC Build</v>
      </c>
    </row>
    <row r="2" customFormat="false" ht="15" hidden="false" customHeight="false" outlineLevel="0" collapsed="false">
      <c r="B2" s="2" t="str">
        <f aca="false">"("&amp;Units&amp;"; inputs link to the Assumptions tab)"</f>
        <v>($ in millions; inputs link to the Assumptions tab)</v>
      </c>
    </row>
    <row r="4" customFormat="false" ht="15" hidden="false" customHeight="false" outlineLevel="0" collapsed="false">
      <c r="B4" s="7" t="s">
        <v>118</v>
      </c>
      <c r="C4" s="8"/>
    </row>
    <row r="5" customFormat="false" ht="15" hidden="false" customHeight="false" outlineLevel="0" collapsed="false">
      <c r="B5" s="5" t="s">
        <v>74</v>
      </c>
      <c r="C5" s="12" t="n">
        <f aca="false">Assumptions!$C$69</f>
        <v>0.0425</v>
      </c>
    </row>
    <row r="6" customFormat="false" ht="15" hidden="false" customHeight="false" outlineLevel="0" collapsed="false">
      <c r="B6" s="5" t="s">
        <v>75</v>
      </c>
      <c r="C6" s="12" t="n">
        <f aca="false">Assumptions!$C$70</f>
        <v>0.055</v>
      </c>
    </row>
    <row r="7" customFormat="false" ht="15" hidden="false" customHeight="false" outlineLevel="0" collapsed="false">
      <c r="B7" s="5" t="s">
        <v>76</v>
      </c>
      <c r="C7" s="27" t="n">
        <f aca="false">Assumptions!$C$71</f>
        <v>1.1</v>
      </c>
    </row>
    <row r="8" customFormat="false" ht="15" hidden="false" customHeight="false" outlineLevel="0" collapsed="false">
      <c r="B8" s="5" t="s">
        <v>77</v>
      </c>
      <c r="C8" s="12" t="n">
        <f aca="false">Assumptions!$C$72</f>
        <v>0.06</v>
      </c>
    </row>
    <row r="9" customFormat="false" ht="15" hidden="false" customHeight="false" outlineLevel="0" collapsed="false">
      <c r="B9" s="5" t="s">
        <v>22</v>
      </c>
      <c r="C9" s="12" t="n">
        <f aca="false">Assumptions!$C$14</f>
        <v>0.25</v>
      </c>
    </row>
    <row r="10" customFormat="false" ht="15" hidden="false" customHeight="false" outlineLevel="0" collapsed="false">
      <c r="B10" s="5" t="s">
        <v>78</v>
      </c>
      <c r="C10" s="36" t="n">
        <f aca="false">Assumptions!$C$73</f>
        <v>6000</v>
      </c>
    </row>
    <row r="11" customFormat="false" ht="15" hidden="false" customHeight="false" outlineLevel="0" collapsed="false">
      <c r="B11" s="5" t="s">
        <v>79</v>
      </c>
      <c r="C11" s="36" t="n">
        <f aca="false">Assumptions!$C$74</f>
        <v>1000</v>
      </c>
    </row>
    <row r="13" customFormat="false" ht="15" hidden="false" customHeight="false" outlineLevel="0" collapsed="false">
      <c r="B13" s="7" t="s">
        <v>119</v>
      </c>
      <c r="C13" s="8"/>
    </row>
    <row r="14" customFormat="false" ht="15" hidden="false" customHeight="false" outlineLevel="0" collapsed="false">
      <c r="B14" s="5" t="s">
        <v>120</v>
      </c>
      <c r="C14" s="38" t="n">
        <f aca="false">C5+C7*C6</f>
        <v>0.103</v>
      </c>
    </row>
    <row r="15" customFormat="false" ht="15" hidden="false" customHeight="false" outlineLevel="0" collapsed="false">
      <c r="B15" s="5" t="s">
        <v>121</v>
      </c>
      <c r="C15" s="38" t="n">
        <f aca="false">C8*(1-C9)</f>
        <v>0.045</v>
      </c>
    </row>
    <row r="17" customFormat="false" ht="15" hidden="false" customHeight="false" outlineLevel="0" collapsed="false">
      <c r="B17" s="7" t="s">
        <v>122</v>
      </c>
      <c r="C17" s="8"/>
    </row>
    <row r="18" customFormat="false" ht="15" hidden="false" customHeight="false" outlineLevel="0" collapsed="false">
      <c r="B18" s="5" t="s">
        <v>123</v>
      </c>
      <c r="C18" s="37" t="n">
        <f aca="false">C10+C11</f>
        <v>7000</v>
      </c>
    </row>
    <row r="19" customFormat="false" ht="15" hidden="false" customHeight="false" outlineLevel="0" collapsed="false">
      <c r="B19" s="5" t="s">
        <v>124</v>
      </c>
      <c r="C19" s="38" t="n">
        <f aca="false">IF(C18=0,0,C10/C18)</f>
        <v>0.857142857142857</v>
      </c>
    </row>
    <row r="20" customFormat="false" ht="15" hidden="false" customHeight="false" outlineLevel="0" collapsed="false">
      <c r="B20" s="5" t="s">
        <v>125</v>
      </c>
      <c r="C20" s="38" t="n">
        <f aca="false">IF(C18=0,0,C11/C18)</f>
        <v>0.142857142857143</v>
      </c>
    </row>
    <row r="22" customFormat="false" ht="15" hidden="false" customHeight="false" outlineLevel="0" collapsed="false">
      <c r="B22" s="7" t="s">
        <v>126</v>
      </c>
      <c r="C22" s="8"/>
    </row>
    <row r="23" customFormat="false" ht="15" hidden="false" customHeight="false" outlineLevel="0" collapsed="false">
      <c r="B23" s="17" t="s">
        <v>127</v>
      </c>
      <c r="C23" s="19" t="n">
        <f aca="false">C19*C14+C20*C15</f>
        <v>0.0947142857142857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8" min="3" style="0" width="13"/>
  </cols>
  <sheetData>
    <row r="1" customFormat="false" ht="17.35" hidden="false" customHeight="false" outlineLevel="0" collapsed="false">
      <c r="B1" s="1" t="str">
        <f aca="false">CompanyName&amp;" - Discounted Cash Flow Valuation"</f>
        <v>Example Co. - Discounted Cash Flow Valuation</v>
      </c>
    </row>
    <row r="2" customFormat="false" ht="15" hidden="false" customHeight="false" outlineLevel="0" collapsed="false">
      <c r="B2" s="2" t="str">
        <f aca="false">"("&amp;Units&amp;"; drivers link to the Assumptions and Segment_Revenue tabs)"</f>
        <v>($ in millions; drivers link to the Assumptions and Segment_Revenue tabs)</v>
      </c>
    </row>
    <row r="4" customFormat="false" ht="15" hidden="false" customHeight="false" outlineLevel="0" collapsed="false">
      <c r="B4" s="21" t="s">
        <v>47</v>
      </c>
      <c r="C4" s="22" t="str">
        <f aca="false">Segment_Revenue!C$4</f>
        <v>FY2025A</v>
      </c>
      <c r="D4" s="22" t="str">
        <f aca="false">Segment_Revenue!D$4</f>
        <v>FY2026E</v>
      </c>
      <c r="E4" s="22" t="str">
        <f aca="false">Segment_Revenue!E$4</f>
        <v>FY2027E</v>
      </c>
      <c r="F4" s="22" t="str">
        <f aca="false">Segment_Revenue!F$4</f>
        <v>FY2028E</v>
      </c>
      <c r="G4" s="22" t="str">
        <f aca="false">Segment_Revenue!G$4</f>
        <v>FY2029E</v>
      </c>
      <c r="H4" s="22" t="str">
        <f aca="false">Segment_Revenue!H$4</f>
        <v>FY2030E</v>
      </c>
    </row>
    <row r="5" customFormat="false" ht="15" hidden="false" customHeight="false" outlineLevel="0" collapsed="false">
      <c r="B5" s="2" t="s">
        <v>87</v>
      </c>
      <c r="C5" s="42" t="n">
        <f aca="false">Segment_Revenue!C$5</f>
        <v>0</v>
      </c>
      <c r="D5" s="42" t="n">
        <f aca="false">Segment_Revenue!D$5</f>
        <v>1</v>
      </c>
      <c r="E5" s="42" t="n">
        <f aca="false">Segment_Revenue!E$5</f>
        <v>2</v>
      </c>
      <c r="F5" s="42" t="n">
        <f aca="false">Segment_Revenue!F$5</f>
        <v>3</v>
      </c>
      <c r="G5" s="42" t="n">
        <f aca="false">Segment_Revenue!G$5</f>
        <v>4</v>
      </c>
      <c r="H5" s="42" t="n">
        <f aca="false">Segment_Revenue!H$5</f>
        <v>5</v>
      </c>
    </row>
    <row r="7" customFormat="false" ht="15" hidden="false" customHeight="false" outlineLevel="0" collapsed="false">
      <c r="B7" s="7" t="s">
        <v>128</v>
      </c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B8" s="5" t="s">
        <v>129</v>
      </c>
      <c r="D8" s="36" t="n">
        <f aca="false">Segment_Revenue!D34</f>
        <v>506.7</v>
      </c>
      <c r="E8" s="36" t="n">
        <f aca="false">Segment_Revenue!E34</f>
        <v>545.3112</v>
      </c>
      <c r="F8" s="36" t="n">
        <f aca="false">Segment_Revenue!F34</f>
        <v>587.085948</v>
      </c>
      <c r="G8" s="36" t="n">
        <f aca="false">Segment_Revenue!G34</f>
        <v>632.29952316</v>
      </c>
      <c r="H8" s="36" t="n">
        <f aca="false">Segment_Revenue!H34</f>
        <v>681.252291378</v>
      </c>
    </row>
    <row r="9" customFormat="false" ht="15" hidden="false" customHeight="false" outlineLevel="0" collapsed="false">
      <c r="B9" s="5" t="s">
        <v>130</v>
      </c>
      <c r="D9" s="37" t="n">
        <f aca="false">-D8*Assumptions!$C$14</f>
        <v>-126.675</v>
      </c>
      <c r="E9" s="37" t="n">
        <f aca="false">-E8*Assumptions!$C$14</f>
        <v>-136.3278</v>
      </c>
      <c r="F9" s="37" t="n">
        <f aca="false">-F8*Assumptions!$C$14</f>
        <v>-146.771487</v>
      </c>
      <c r="G9" s="37" t="n">
        <f aca="false">-G8*Assumptions!$C$14</f>
        <v>-158.07488079</v>
      </c>
      <c r="H9" s="37" t="n">
        <f aca="false">-H8*Assumptions!$C$14</f>
        <v>-170.3130728445</v>
      </c>
    </row>
    <row r="10" customFormat="false" ht="15" hidden="false" customHeight="false" outlineLevel="0" collapsed="false">
      <c r="B10" s="5" t="s">
        <v>131</v>
      </c>
      <c r="D10" s="37" t="n">
        <f aca="false">Segment_Revenue!D32*Assumptions!$C$77</f>
        <v>74.9525</v>
      </c>
      <c r="E10" s="37" t="n">
        <f aca="false">Segment_Revenue!E32*Assumptions!$C$77</f>
        <v>80.288425</v>
      </c>
      <c r="F10" s="37" t="n">
        <f aca="false">Segment_Revenue!F32*Assumptions!$C$77</f>
        <v>86.03973875</v>
      </c>
      <c r="G10" s="37" t="n">
        <f aca="false">Segment_Revenue!G32*Assumptions!$C$77</f>
        <v>92.2412285725</v>
      </c>
      <c r="H10" s="37" t="n">
        <f aca="false">Segment_Revenue!H32*Assumptions!$C$77</f>
        <v>98.9307656492751</v>
      </c>
    </row>
    <row r="11" customFormat="false" ht="15" hidden="false" customHeight="false" outlineLevel="0" collapsed="false">
      <c r="B11" s="5" t="s">
        <v>132</v>
      </c>
      <c r="D11" s="36" t="n">
        <f aca="false">-Capex!D37</f>
        <v>-92.445</v>
      </c>
      <c r="E11" s="36" t="n">
        <f aca="false">-Capex!E37</f>
        <v>-99.0871500000001</v>
      </c>
      <c r="F11" s="36" t="n">
        <f aca="false">-Capex!F37</f>
        <v>-106.2480525</v>
      </c>
      <c r="G11" s="36" t="n">
        <f aca="false">-Capex!G37</f>
        <v>-113.971175355</v>
      </c>
      <c r="H11" s="36" t="n">
        <f aca="false">-Capex!H37</f>
        <v>-122.30383837245</v>
      </c>
    </row>
    <row r="12" customFormat="false" ht="15" hidden="false" customHeight="false" outlineLevel="0" collapsed="false">
      <c r="B12" s="5" t="s">
        <v>133</v>
      </c>
      <c r="D12" s="36" t="n">
        <f aca="false">-Working_Capital!D23</f>
        <v>-23.558904109589</v>
      </c>
      <c r="E12" s="36" t="n">
        <f aca="false">-Working_Capital!E23</f>
        <v>-10.1922589041097</v>
      </c>
      <c r="F12" s="36" t="n">
        <f aca="false">-Working_Capital!F23</f>
        <v>-20.561562020548</v>
      </c>
      <c r="G12" s="36" t="n">
        <f aca="false">-Working_Capital!G23</f>
        <v>-14.706503150137</v>
      </c>
      <c r="H12" s="36" t="n">
        <f aca="false">-Working_Capital!H23</f>
        <v>-22.8654480994006</v>
      </c>
    </row>
    <row r="13" customFormat="false" ht="15" hidden="false" customHeight="false" outlineLevel="0" collapsed="false">
      <c r="B13" s="17" t="s">
        <v>128</v>
      </c>
      <c r="C13" s="20"/>
      <c r="D13" s="18" t="n">
        <f aca="false">SUM(D8:D12)</f>
        <v>338.973595890411</v>
      </c>
      <c r="E13" s="18" t="n">
        <f aca="false">SUM(E8:E12)</f>
        <v>379.99241609589</v>
      </c>
      <c r="F13" s="18" t="n">
        <f aca="false">SUM(F8:F12)</f>
        <v>399.544585229452</v>
      </c>
      <c r="G13" s="18" t="n">
        <f aca="false">SUM(G8:G12)</f>
        <v>437.788192437363</v>
      </c>
      <c r="H13" s="18" t="n">
        <f aca="false">SUM(H8:H12)</f>
        <v>464.700697710924</v>
      </c>
    </row>
    <row r="15" customFormat="false" ht="15" hidden="false" customHeight="false" outlineLevel="0" collapsed="false">
      <c r="B15" s="7" t="s">
        <v>134</v>
      </c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5" t="s">
        <v>24</v>
      </c>
      <c r="C16" s="12" t="n">
        <f aca="false">Assumptions!$C$15</f>
        <v>0.0947142857142857</v>
      </c>
    </row>
    <row r="17" customFormat="false" ht="15" hidden="false" customHeight="false" outlineLevel="0" collapsed="false">
      <c r="B17" s="5" t="s">
        <v>85</v>
      </c>
      <c r="C17" s="44" t="n">
        <f aca="false">Assumptions!$C$82</f>
        <v>1</v>
      </c>
    </row>
    <row r="18" customFormat="false" ht="15" hidden="false" customHeight="false" outlineLevel="0" collapsed="false">
      <c r="B18" s="5" t="s">
        <v>135</v>
      </c>
      <c r="D18" s="45" t="n">
        <f aca="false">D$5-0.5*$C$17</f>
        <v>0.5</v>
      </c>
      <c r="E18" s="45" t="n">
        <f aca="false">E$5-0.5*$C$17</f>
        <v>1.5</v>
      </c>
      <c r="F18" s="45" t="n">
        <f aca="false">F$5-0.5*$C$17</f>
        <v>2.5</v>
      </c>
      <c r="G18" s="45" t="n">
        <f aca="false">G$5-0.5*$C$17</f>
        <v>3.5</v>
      </c>
      <c r="H18" s="45" t="n">
        <f aca="false">H$5-0.5*$C$17</f>
        <v>4.5</v>
      </c>
    </row>
    <row r="19" customFormat="false" ht="15" hidden="false" customHeight="false" outlineLevel="0" collapsed="false">
      <c r="B19" s="5" t="s">
        <v>136</v>
      </c>
      <c r="D19" s="46" t="n">
        <f aca="false">1/(1+$C$16)^D18</f>
        <v>0.955761664941766</v>
      </c>
      <c r="E19" s="46" t="n">
        <f aca="false">1/(1+$C$16)^E18</f>
        <v>0.87306950992984</v>
      </c>
      <c r="F19" s="46" t="n">
        <f aca="false">1/(1+$C$16)^F18</f>
        <v>0.797531850386125</v>
      </c>
      <c r="G19" s="46" t="n">
        <f aca="false">1/(1+$C$16)^G18</f>
        <v>0.728529681939564</v>
      </c>
      <c r="H19" s="46" t="n">
        <f aca="false">1/(1+$C$16)^H18</f>
        <v>0.665497556254332</v>
      </c>
    </row>
    <row r="20" customFormat="false" ht="15" hidden="false" customHeight="false" outlineLevel="0" collapsed="false">
      <c r="B20" s="5" t="s">
        <v>137</v>
      </c>
      <c r="D20" s="37" t="n">
        <f aca="false">D13*D19</f>
        <v>323.977968379517</v>
      </c>
      <c r="E20" s="37" t="n">
        <f aca="false">E13*E19</f>
        <v>331.759792497895</v>
      </c>
      <c r="F20" s="37" t="n">
        <f aca="false">F13*F19</f>
        <v>318.649532369802</v>
      </c>
      <c r="G20" s="37" t="n">
        <f aca="false">G13*G19</f>
        <v>318.941692593289</v>
      </c>
      <c r="H20" s="37" t="n">
        <f aca="false">H13*H19</f>
        <v>309.257178716303</v>
      </c>
    </row>
    <row r="21" customFormat="false" ht="15" hidden="false" customHeight="false" outlineLevel="0" collapsed="false">
      <c r="B21" s="17" t="s">
        <v>138</v>
      </c>
      <c r="C21" s="18" t="n">
        <f aca="false">SUM(D20:H20)</f>
        <v>1602.5861645568</v>
      </c>
    </row>
    <row r="23" customFormat="false" ht="15" hidden="false" customHeight="false" outlineLevel="0" collapsed="false">
      <c r="B23" s="7" t="s">
        <v>139</v>
      </c>
      <c r="C23" s="8"/>
      <c r="D23" s="8"/>
      <c r="E23" s="8"/>
      <c r="F23" s="8"/>
      <c r="G23" s="8"/>
      <c r="H23" s="8"/>
    </row>
    <row r="24" customFormat="false" ht="27.75" hidden="false" customHeight="true" outlineLevel="0" collapsed="false">
      <c r="B24" s="47"/>
      <c r="C24" s="14" t="s">
        <v>140</v>
      </c>
      <c r="D24" s="14" t="s">
        <v>141</v>
      </c>
    </row>
    <row r="25" customFormat="false" ht="15" hidden="false" customHeight="false" outlineLevel="0" collapsed="false">
      <c r="B25" s="5" t="s">
        <v>142</v>
      </c>
      <c r="C25" s="37" t="n">
        <f aca="false">H13</f>
        <v>464.700697710924</v>
      </c>
    </row>
    <row r="26" customFormat="false" ht="15" hidden="false" customHeight="false" outlineLevel="0" collapsed="false">
      <c r="B26" s="5" t="s">
        <v>26</v>
      </c>
      <c r="C26" s="12" t="n">
        <f aca="false">Assumptions!$C$78</f>
        <v>0.025</v>
      </c>
    </row>
    <row r="27" customFormat="false" ht="15" hidden="false" customHeight="false" outlineLevel="0" collapsed="false">
      <c r="B27" s="5" t="s">
        <v>143</v>
      </c>
      <c r="D27" s="37" t="n">
        <f aca="false">H8+H10</f>
        <v>780.183057027275</v>
      </c>
    </row>
    <row r="28" customFormat="false" ht="15" hidden="false" customHeight="false" outlineLevel="0" collapsed="false">
      <c r="B28" s="5" t="s">
        <v>82</v>
      </c>
      <c r="D28" s="28" t="n">
        <f aca="false">Assumptions!$C$79</f>
        <v>12</v>
      </c>
    </row>
    <row r="29" customFormat="false" ht="15" hidden="false" customHeight="false" outlineLevel="0" collapsed="false">
      <c r="B29" s="5" t="s">
        <v>144</v>
      </c>
      <c r="C29" s="37" t="n">
        <f aca="false">IF($C$16&lt;=C26,0,C25*(1+C26)/($C$16-C26))</f>
        <v>6832.43341408993</v>
      </c>
      <c r="D29" s="37" t="n">
        <f aca="false">D27*D28</f>
        <v>9362.1966843273</v>
      </c>
    </row>
    <row r="30" customFormat="false" ht="15" hidden="false" customHeight="false" outlineLevel="0" collapsed="false">
      <c r="B30" s="5" t="s">
        <v>145</v>
      </c>
      <c r="C30" s="45" t="n">
        <f aca="false">$H$5</f>
        <v>5</v>
      </c>
      <c r="D30" s="45" t="n">
        <f aca="false">$H$5</f>
        <v>5</v>
      </c>
    </row>
    <row r="31" customFormat="false" ht="15" hidden="false" customHeight="false" outlineLevel="0" collapsed="false">
      <c r="B31" s="5" t="s">
        <v>146</v>
      </c>
      <c r="C31" s="46" t="n">
        <f aca="false">1/(1+$C$16)^C30</f>
        <v>0.636057052380317</v>
      </c>
      <c r="D31" s="46" t="n">
        <f aca="false">1/(1+$C$16)^D30</f>
        <v>0.636057052380317</v>
      </c>
    </row>
    <row r="32" customFormat="false" ht="15" hidden="false" customHeight="false" outlineLevel="0" collapsed="false">
      <c r="B32" s="5" t="s">
        <v>147</v>
      </c>
      <c r="C32" s="37" t="n">
        <f aca="false">C29*C31</f>
        <v>4345.81745795082</v>
      </c>
      <c r="D32" s="37" t="n">
        <f aca="false">D29*D31</f>
        <v>5954.891226838</v>
      </c>
    </row>
    <row r="33" customFormat="false" ht="15" hidden="false" customHeight="false" outlineLevel="0" collapsed="false">
      <c r="B33" s="5" t="s">
        <v>148</v>
      </c>
      <c r="C33" s="37" t="n">
        <f aca="false">$C$21</f>
        <v>1602.5861645568</v>
      </c>
      <c r="D33" s="37" t="n">
        <f aca="false">$C$21</f>
        <v>1602.5861645568</v>
      </c>
    </row>
    <row r="34" customFormat="false" ht="15" hidden="false" customHeight="false" outlineLevel="0" collapsed="false">
      <c r="B34" s="17" t="s">
        <v>149</v>
      </c>
      <c r="C34" s="18" t="n">
        <f aca="false">C32+C33</f>
        <v>5948.40362250763</v>
      </c>
      <c r="D34" s="18" t="n">
        <f aca="false">D32+D33</f>
        <v>7557.4773913948</v>
      </c>
    </row>
    <row r="35" customFormat="false" ht="15" hidden="false" customHeight="false" outlineLevel="0" collapsed="false">
      <c r="B35" s="5" t="s">
        <v>150</v>
      </c>
      <c r="C35" s="36" t="n">
        <f aca="false">-Assumptions!$C$80</f>
        <v>-800</v>
      </c>
      <c r="D35" s="36" t="n">
        <f aca="false">-Assumptions!$C$80</f>
        <v>-800</v>
      </c>
    </row>
    <row r="36" customFormat="false" ht="15" hidden="false" customHeight="false" outlineLevel="0" collapsed="false">
      <c r="B36" s="17" t="s">
        <v>151</v>
      </c>
      <c r="C36" s="18" t="n">
        <f aca="false">C34+C35</f>
        <v>5148.40362250763</v>
      </c>
      <c r="D36" s="18" t="n">
        <f aca="false">D34+D35</f>
        <v>6757.4773913948</v>
      </c>
    </row>
    <row r="37" customFormat="false" ht="15" hidden="false" customHeight="false" outlineLevel="0" collapsed="false">
      <c r="B37" s="5" t="s">
        <v>84</v>
      </c>
      <c r="C37" s="48" t="n">
        <f aca="false">Assumptions!$C$81</f>
        <v>150</v>
      </c>
      <c r="D37" s="48" t="n">
        <f aca="false">Assumptions!$C$81</f>
        <v>150</v>
      </c>
    </row>
    <row r="38" customFormat="false" ht="15" hidden="false" customHeight="false" outlineLevel="0" collapsed="false">
      <c r="B38" s="17" t="s">
        <v>152</v>
      </c>
      <c r="C38" s="49" t="n">
        <f aca="false">IF(C37=0,0,C36/C37)</f>
        <v>34.3226908167175</v>
      </c>
      <c r="D38" s="49" t="n">
        <f aca="false">IF(D37=0,0,D36/D37)</f>
        <v>45.0498492759654</v>
      </c>
    </row>
    <row r="40" customFormat="false" ht="15" hidden="false" customHeight="false" outlineLevel="0" collapsed="false">
      <c r="B40" s="7" t="s">
        <v>153</v>
      </c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B41" s="5" t="s">
        <v>154</v>
      </c>
      <c r="C41" s="38" t="n">
        <f aca="false">IF(C34=0,0,C32/C34)</f>
        <v>0.730585503900084</v>
      </c>
      <c r="D41" s="38" t="n">
        <f aca="false">IF(D34=0,0,D32/D34)</f>
        <v>0.787946945579809</v>
      </c>
    </row>
    <row r="42" customFormat="false" ht="15" hidden="false" customHeight="false" outlineLevel="0" collapsed="false">
      <c r="B42" s="5" t="s">
        <v>155</v>
      </c>
      <c r="C42" s="50" t="n">
        <f aca="false">IF(D27=0,0,C29/D27)</f>
        <v>8.7574747394842</v>
      </c>
    </row>
    <row r="43" customFormat="false" ht="15" hidden="false" customHeight="false" outlineLevel="0" collapsed="false">
      <c r="B43" s="5" t="s">
        <v>156</v>
      </c>
      <c r="D43" s="38" t="n">
        <f aca="false">IF(D29+C25=0,0,(D29*$C$16-C25)/(D29+C25))</f>
        <v>0.0429467264747457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2"/>
  </cols>
  <sheetData>
    <row r="1" customFormat="false" ht="17.35" hidden="false" customHeight="false" outlineLevel="0" collapsed="false">
      <c r="B1" s="1" t="str">
        <f aca="false">CompanyName&amp;" - Scenarios"</f>
        <v>Example Co. - Scenarios</v>
      </c>
    </row>
    <row r="2" customFormat="false" ht="15" hidden="false" customHeight="false" outlineLevel="0" collapsed="false">
      <c r="B2" s="2" t="str">
        <f aca="false">"(Edit Bear / Base / Bull inputs; Live = active case: "&amp;Assumptions!$C$3&amp;")"</f>
        <v>(Edit Bear / Base / Bull inputs; Live = active case: Base)</v>
      </c>
    </row>
    <row r="4" customFormat="false" ht="15" hidden="false" customHeight="false" outlineLevel="0" collapsed="false">
      <c r="B4" s="30" t="s">
        <v>157</v>
      </c>
      <c r="C4" s="31" t="s">
        <v>158</v>
      </c>
      <c r="D4" s="31" t="s">
        <v>3</v>
      </c>
      <c r="E4" s="31" t="s">
        <v>159</v>
      </c>
      <c r="F4" s="31" t="s">
        <v>160</v>
      </c>
    </row>
    <row r="6" customFormat="false" ht="15" hidden="false" customHeight="false" outlineLevel="0" collapsed="false">
      <c r="B6" s="7" t="s">
        <v>161</v>
      </c>
      <c r="C6" s="8"/>
      <c r="D6" s="8"/>
      <c r="E6" s="8"/>
      <c r="F6" s="8"/>
    </row>
    <row r="7" customFormat="false" ht="15" hidden="false" customHeight="false" outlineLevel="0" collapsed="false">
      <c r="B7" s="6" t="str">
        <f aca="false">IF(Assumptions!$B21="","",Assumptions!$B21)</f>
        <v>Products</v>
      </c>
      <c r="C7" s="11" t="n">
        <v>0.04</v>
      </c>
      <c r="D7" s="11" t="n">
        <v>0.06</v>
      </c>
      <c r="E7" s="11" t="n">
        <v>0.08</v>
      </c>
      <c r="F7" s="41" t="n">
        <f aca="false">CHOOSE(Assumptions!$E$3,C7,D7,E7)</f>
        <v>0.06</v>
      </c>
    </row>
    <row r="8" customFormat="false" ht="15" hidden="false" customHeight="false" outlineLevel="0" collapsed="false">
      <c r="B8" s="6" t="str">
        <f aca="false">IF(Assumptions!$B22="","",Assumptions!$B22)</f>
        <v>Services</v>
      </c>
      <c r="C8" s="11" t="n">
        <v>0.08</v>
      </c>
      <c r="D8" s="11" t="n">
        <v>0.1</v>
      </c>
      <c r="E8" s="11" t="n">
        <v>0.12</v>
      </c>
      <c r="F8" s="41" t="n">
        <f aca="false">CHOOSE(Assumptions!$E$3,C8,D8,E8)</f>
        <v>0.1</v>
      </c>
    </row>
    <row r="9" customFormat="false" ht="15" hidden="false" customHeight="false" outlineLevel="0" collapsed="false">
      <c r="B9" s="6" t="str">
        <f aca="false">IF(Assumptions!$B23="","",Assumptions!$B23)</f>
        <v>Licensing &amp; Other</v>
      </c>
      <c r="C9" s="11" t="n">
        <v>0.01</v>
      </c>
      <c r="D9" s="11" t="n">
        <v>0.03</v>
      </c>
      <c r="E9" s="11" t="n">
        <v>0.05</v>
      </c>
      <c r="F9" s="41" t="n">
        <f aca="false">CHOOSE(Assumptions!$E$3,C9,D9,E9)</f>
        <v>0.03</v>
      </c>
    </row>
    <row r="10" customFormat="false" ht="15" hidden="false" customHeight="false" outlineLevel="0" collapsed="false">
      <c r="B10" s="6" t="str">
        <f aca="false">IF(Assumptions!$B24="","",Assumptions!$B24)</f>
        <v/>
      </c>
      <c r="C10" s="11"/>
      <c r="D10" s="11"/>
      <c r="E10" s="11"/>
      <c r="F10" s="41" t="n">
        <f aca="false">CHOOSE(Assumptions!$E$3,C10,D10,E10)</f>
        <v>0</v>
      </c>
    </row>
    <row r="11" customFormat="false" ht="15" hidden="false" customHeight="false" outlineLevel="0" collapsed="false">
      <c r="B11" s="6" t="str">
        <f aca="false">IF(Assumptions!$B25="","",Assumptions!$B25)</f>
        <v/>
      </c>
      <c r="C11" s="11"/>
      <c r="D11" s="11"/>
      <c r="E11" s="11"/>
      <c r="F11" s="41" t="n">
        <f aca="false">CHOOSE(Assumptions!$E$3,C11,D11,E11)</f>
        <v>0</v>
      </c>
    </row>
    <row r="12" customFormat="false" ht="15" hidden="false" customHeight="false" outlineLevel="0" collapsed="false">
      <c r="B12" s="6" t="str">
        <f aca="false">IF(Assumptions!$B26="","",Assumptions!$B26)</f>
        <v/>
      </c>
      <c r="C12" s="11"/>
      <c r="D12" s="11"/>
      <c r="E12" s="11"/>
      <c r="F12" s="41" t="n">
        <f aca="false">CHOOSE(Assumptions!$E$3,C12,D12,E12)</f>
        <v>0</v>
      </c>
    </row>
    <row r="13" customFormat="false" ht="15" hidden="false" customHeight="false" outlineLevel="0" collapsed="false">
      <c r="B13" s="6" t="str">
        <f aca="false">IF(Assumptions!$B27="","",Assumptions!$B27)</f>
        <v/>
      </c>
      <c r="C13" s="11"/>
      <c r="D13" s="11"/>
      <c r="E13" s="11"/>
      <c r="F13" s="41" t="n">
        <f aca="false">CHOOSE(Assumptions!$E$3,C13,D13,E13)</f>
        <v>0</v>
      </c>
    </row>
    <row r="14" customFormat="false" ht="15" hidden="false" customHeight="false" outlineLevel="0" collapsed="false">
      <c r="B14" s="6" t="str">
        <f aca="false">IF(Assumptions!$B28="","",Assumptions!$B28)</f>
        <v/>
      </c>
      <c r="C14" s="11"/>
      <c r="D14" s="11"/>
      <c r="E14" s="11"/>
      <c r="F14" s="41" t="n">
        <f aca="false">CHOOSE(Assumptions!$E$3,C14,D14,E14)</f>
        <v>0</v>
      </c>
    </row>
    <row r="16" customFormat="false" ht="15" hidden="false" customHeight="false" outlineLevel="0" collapsed="false">
      <c r="B16" s="7" t="s">
        <v>162</v>
      </c>
      <c r="C16" s="8"/>
      <c r="D16" s="8"/>
      <c r="E16" s="8"/>
      <c r="F16" s="8"/>
    </row>
    <row r="17" customFormat="false" ht="15" hidden="false" customHeight="false" outlineLevel="0" collapsed="false">
      <c r="B17" s="6" t="str">
        <f aca="false">IF(Assumptions!$B21="","",Assumptions!$B21)</f>
        <v>Products</v>
      </c>
      <c r="C17" s="11" t="n">
        <v>0.2</v>
      </c>
      <c r="D17" s="11" t="n">
        <v>0.22</v>
      </c>
      <c r="E17" s="11" t="n">
        <v>0.24</v>
      </c>
      <c r="F17" s="41" t="n">
        <f aca="false">CHOOSE(Assumptions!$E$3,C17,D17,E17)</f>
        <v>0.22</v>
      </c>
    </row>
    <row r="18" customFormat="false" ht="15" hidden="false" customHeight="false" outlineLevel="0" collapsed="false">
      <c r="B18" s="6" t="str">
        <f aca="false">IF(Assumptions!$B22="","",Assumptions!$B22)</f>
        <v>Services</v>
      </c>
      <c r="C18" s="11" t="n">
        <v>0.28</v>
      </c>
      <c r="D18" s="11" t="n">
        <v>0.3</v>
      </c>
      <c r="E18" s="11" t="n">
        <v>0.32</v>
      </c>
      <c r="F18" s="41" t="n">
        <f aca="false">CHOOSE(Assumptions!$E$3,C18,D18,E18)</f>
        <v>0.3</v>
      </c>
    </row>
    <row r="19" customFormat="false" ht="15" hidden="false" customHeight="false" outlineLevel="0" collapsed="false">
      <c r="B19" s="6" t="str">
        <f aca="false">IF(Assumptions!$B23="","",Assumptions!$B23)</f>
        <v>Licensing &amp; Other</v>
      </c>
      <c r="C19" s="11" t="n">
        <v>0.06</v>
      </c>
      <c r="D19" s="11" t="n">
        <v>0.08</v>
      </c>
      <c r="E19" s="11" t="n">
        <v>0.1</v>
      </c>
      <c r="F19" s="41" t="n">
        <f aca="false">CHOOSE(Assumptions!$E$3,C19,D19,E19)</f>
        <v>0.08</v>
      </c>
    </row>
    <row r="20" customFormat="false" ht="15" hidden="false" customHeight="false" outlineLevel="0" collapsed="false">
      <c r="B20" s="6" t="str">
        <f aca="false">IF(Assumptions!$B24="","",Assumptions!$B24)</f>
        <v/>
      </c>
      <c r="C20" s="11"/>
      <c r="D20" s="11"/>
      <c r="E20" s="11"/>
      <c r="F20" s="41" t="n">
        <f aca="false">CHOOSE(Assumptions!$E$3,C20,D20,E20)</f>
        <v>0</v>
      </c>
    </row>
    <row r="21" customFormat="false" ht="15" hidden="false" customHeight="false" outlineLevel="0" collapsed="false">
      <c r="B21" s="6" t="str">
        <f aca="false">IF(Assumptions!$B25="","",Assumptions!$B25)</f>
        <v/>
      </c>
      <c r="C21" s="11"/>
      <c r="D21" s="11"/>
      <c r="E21" s="11"/>
      <c r="F21" s="41" t="n">
        <f aca="false">CHOOSE(Assumptions!$E$3,C21,D21,E21)</f>
        <v>0</v>
      </c>
    </row>
    <row r="22" customFormat="false" ht="15" hidden="false" customHeight="false" outlineLevel="0" collapsed="false">
      <c r="B22" s="6" t="str">
        <f aca="false">IF(Assumptions!$B26="","",Assumptions!$B26)</f>
        <v/>
      </c>
      <c r="C22" s="11"/>
      <c r="D22" s="11"/>
      <c r="E22" s="11"/>
      <c r="F22" s="41" t="n">
        <f aca="false">CHOOSE(Assumptions!$E$3,C22,D22,E22)</f>
        <v>0</v>
      </c>
    </row>
    <row r="23" customFormat="false" ht="15" hidden="false" customHeight="false" outlineLevel="0" collapsed="false">
      <c r="B23" s="6" t="str">
        <f aca="false">IF(Assumptions!$B27="","",Assumptions!$B27)</f>
        <v/>
      </c>
      <c r="C23" s="11"/>
      <c r="D23" s="11"/>
      <c r="E23" s="11"/>
      <c r="F23" s="41" t="n">
        <f aca="false">CHOOSE(Assumptions!$E$3,C23,D23,E23)</f>
        <v>0</v>
      </c>
    </row>
    <row r="24" customFormat="false" ht="15" hidden="false" customHeight="false" outlineLevel="0" collapsed="false">
      <c r="B24" s="6" t="str">
        <f aca="false">IF(Assumptions!$B28="","",Assumptions!$B28)</f>
        <v/>
      </c>
      <c r="C24" s="11"/>
      <c r="D24" s="11"/>
      <c r="E24" s="11"/>
      <c r="F24" s="41" t="n">
        <f aca="false">CHOOSE(Assumptions!$E$3,C24,D24,E24)</f>
        <v>0</v>
      </c>
    </row>
    <row r="26" customFormat="false" ht="15" hidden="false" customHeight="false" outlineLevel="0" collapsed="false">
      <c r="B26" s="7" t="s">
        <v>163</v>
      </c>
      <c r="C26" s="8"/>
      <c r="D26" s="8"/>
      <c r="E26" s="8"/>
      <c r="F26" s="8"/>
    </row>
    <row r="27" customFormat="false" ht="15" hidden="false" customHeight="false" outlineLevel="0" collapsed="false">
      <c r="B27" s="6" t="str">
        <f aca="false">"DSO - "&amp;Segment_Revenue!D$4</f>
        <v>DSO - FY2026E</v>
      </c>
      <c r="C27" s="23" t="n">
        <v>50</v>
      </c>
      <c r="D27" s="23" t="n">
        <v>45</v>
      </c>
      <c r="E27" s="23" t="n">
        <v>40</v>
      </c>
      <c r="F27" s="51" t="n">
        <f aca="false">CHOOSE(Assumptions!$E$3,C27,D27,E27)</f>
        <v>45</v>
      </c>
    </row>
    <row r="28" customFormat="false" ht="15" hidden="false" customHeight="false" outlineLevel="0" collapsed="false">
      <c r="B28" s="6" t="str">
        <f aca="false">"DSO - "&amp;Segment_Revenue!E$4</f>
        <v>DSO - FY2027E</v>
      </c>
      <c r="C28" s="23" t="n">
        <v>49</v>
      </c>
      <c r="D28" s="23" t="n">
        <v>44</v>
      </c>
      <c r="E28" s="23" t="n">
        <v>39</v>
      </c>
      <c r="F28" s="51" t="n">
        <f aca="false">CHOOSE(Assumptions!$E$3,C28,D28,E28)</f>
        <v>44</v>
      </c>
    </row>
    <row r="29" customFormat="false" ht="15" hidden="false" customHeight="false" outlineLevel="0" collapsed="false">
      <c r="B29" s="6" t="str">
        <f aca="false">"DSO - "&amp;Segment_Revenue!F$4</f>
        <v>DSO - FY2028E</v>
      </c>
      <c r="C29" s="23" t="n">
        <v>49</v>
      </c>
      <c r="D29" s="23" t="n">
        <v>44</v>
      </c>
      <c r="E29" s="23" t="n">
        <v>39</v>
      </c>
      <c r="F29" s="51" t="n">
        <f aca="false">CHOOSE(Assumptions!$E$3,C29,D29,E29)</f>
        <v>44</v>
      </c>
    </row>
    <row r="30" customFormat="false" ht="15" hidden="false" customHeight="false" outlineLevel="0" collapsed="false">
      <c r="B30" s="6" t="str">
        <f aca="false">"DSO - "&amp;Segment_Revenue!G$4</f>
        <v>DSO - FY2029E</v>
      </c>
      <c r="C30" s="23" t="n">
        <v>48</v>
      </c>
      <c r="D30" s="23" t="n">
        <v>43</v>
      </c>
      <c r="E30" s="23" t="n">
        <v>38</v>
      </c>
      <c r="F30" s="51" t="n">
        <f aca="false">CHOOSE(Assumptions!$E$3,C30,D30,E30)</f>
        <v>43</v>
      </c>
    </row>
    <row r="31" customFormat="false" ht="15" hidden="false" customHeight="false" outlineLevel="0" collapsed="false">
      <c r="B31" s="6" t="str">
        <f aca="false">"DSO - "&amp;Segment_Revenue!H$4</f>
        <v>DSO - FY2030E</v>
      </c>
      <c r="C31" s="23" t="n">
        <v>48</v>
      </c>
      <c r="D31" s="23" t="n">
        <v>43</v>
      </c>
      <c r="E31" s="23" t="n">
        <v>38</v>
      </c>
      <c r="F31" s="51" t="n">
        <f aca="false">CHOOSE(Assumptions!$E$3,C31,D31,E31)</f>
        <v>43</v>
      </c>
    </row>
    <row r="32" customFormat="false" ht="15" hidden="false" customHeight="false" outlineLevel="0" collapsed="false">
      <c r="B32" s="6" t="str">
        <f aca="false">"DIO - "&amp;Segment_Revenue!D$4</f>
        <v>DIO - FY2026E</v>
      </c>
      <c r="C32" s="23" t="n">
        <v>65</v>
      </c>
      <c r="D32" s="23" t="n">
        <v>60</v>
      </c>
      <c r="E32" s="23" t="n">
        <v>55</v>
      </c>
      <c r="F32" s="51" t="n">
        <f aca="false">CHOOSE(Assumptions!$E$3,C32,D32,E32)</f>
        <v>60</v>
      </c>
    </row>
    <row r="33" customFormat="false" ht="15" hidden="false" customHeight="false" outlineLevel="0" collapsed="false">
      <c r="B33" s="6" t="str">
        <f aca="false">"DIO - "&amp;Segment_Revenue!E$4</f>
        <v>DIO - FY2027E</v>
      </c>
      <c r="C33" s="23" t="n">
        <v>63</v>
      </c>
      <c r="D33" s="23" t="n">
        <v>58</v>
      </c>
      <c r="E33" s="23" t="n">
        <v>53</v>
      </c>
      <c r="F33" s="51" t="n">
        <f aca="false">CHOOSE(Assumptions!$E$3,C33,D33,E33)</f>
        <v>58</v>
      </c>
    </row>
    <row r="34" customFormat="false" ht="15" hidden="false" customHeight="false" outlineLevel="0" collapsed="false">
      <c r="B34" s="6" t="str">
        <f aca="false">"DIO - "&amp;Segment_Revenue!F$4</f>
        <v>DIO - FY2028E</v>
      </c>
      <c r="C34" s="23" t="n">
        <v>62</v>
      </c>
      <c r="D34" s="23" t="n">
        <v>57</v>
      </c>
      <c r="E34" s="23" t="n">
        <v>52</v>
      </c>
      <c r="F34" s="51" t="n">
        <f aca="false">CHOOSE(Assumptions!$E$3,C34,D34,E34)</f>
        <v>57</v>
      </c>
    </row>
    <row r="35" customFormat="false" ht="15" hidden="false" customHeight="false" outlineLevel="0" collapsed="false">
      <c r="B35" s="6" t="str">
        <f aca="false">"DIO - "&amp;Segment_Revenue!G$4</f>
        <v>DIO - FY2029E</v>
      </c>
      <c r="C35" s="23" t="n">
        <v>61</v>
      </c>
      <c r="D35" s="23" t="n">
        <v>56</v>
      </c>
      <c r="E35" s="23" t="n">
        <v>51</v>
      </c>
      <c r="F35" s="51" t="n">
        <f aca="false">CHOOSE(Assumptions!$E$3,C35,D35,E35)</f>
        <v>56</v>
      </c>
    </row>
    <row r="36" customFormat="false" ht="15" hidden="false" customHeight="false" outlineLevel="0" collapsed="false">
      <c r="B36" s="6" t="str">
        <f aca="false">"DIO - "&amp;Segment_Revenue!H$4</f>
        <v>DIO - FY2030E</v>
      </c>
      <c r="C36" s="23" t="n">
        <v>60</v>
      </c>
      <c r="D36" s="23" t="n">
        <v>55</v>
      </c>
      <c r="E36" s="23" t="n">
        <v>50</v>
      </c>
      <c r="F36" s="51" t="n">
        <f aca="false">CHOOSE(Assumptions!$E$3,C36,D36,E36)</f>
        <v>55</v>
      </c>
    </row>
    <row r="37" customFormat="false" ht="15" hidden="false" customHeight="false" outlineLevel="0" collapsed="false">
      <c r="B37" s="6" t="str">
        <f aca="false">"DPO - "&amp;Segment_Revenue!D$4</f>
        <v>DPO - FY2026E</v>
      </c>
      <c r="C37" s="23" t="n">
        <v>35</v>
      </c>
      <c r="D37" s="23" t="n">
        <v>40</v>
      </c>
      <c r="E37" s="23" t="n">
        <v>45</v>
      </c>
      <c r="F37" s="51" t="n">
        <f aca="false">CHOOSE(Assumptions!$E$3,C37,D37,E37)</f>
        <v>40</v>
      </c>
    </row>
    <row r="38" customFormat="false" ht="15" hidden="false" customHeight="false" outlineLevel="0" collapsed="false">
      <c r="B38" s="6" t="str">
        <f aca="false">"DPO - "&amp;Segment_Revenue!E$4</f>
        <v>DPO - FY2027E</v>
      </c>
      <c r="C38" s="23" t="n">
        <v>35</v>
      </c>
      <c r="D38" s="23" t="n">
        <v>40</v>
      </c>
      <c r="E38" s="23" t="n">
        <v>45</v>
      </c>
      <c r="F38" s="51" t="n">
        <f aca="false">CHOOSE(Assumptions!$E$3,C38,D38,E38)</f>
        <v>40</v>
      </c>
    </row>
    <row r="39" customFormat="false" ht="15" hidden="false" customHeight="false" outlineLevel="0" collapsed="false">
      <c r="B39" s="6" t="str">
        <f aca="false">"DPO - "&amp;Segment_Revenue!F$4</f>
        <v>DPO - FY2028E</v>
      </c>
      <c r="C39" s="23" t="n">
        <v>35</v>
      </c>
      <c r="D39" s="23" t="n">
        <v>40</v>
      </c>
      <c r="E39" s="23" t="n">
        <v>45</v>
      </c>
      <c r="F39" s="51" t="n">
        <f aca="false">CHOOSE(Assumptions!$E$3,C39,D39,E39)</f>
        <v>40</v>
      </c>
    </row>
    <row r="40" customFormat="false" ht="15" hidden="false" customHeight="false" outlineLevel="0" collapsed="false">
      <c r="B40" s="6" t="str">
        <f aca="false">"DPO - "&amp;Segment_Revenue!G$4</f>
        <v>DPO - FY2029E</v>
      </c>
      <c r="C40" s="23" t="n">
        <v>35</v>
      </c>
      <c r="D40" s="23" t="n">
        <v>40</v>
      </c>
      <c r="E40" s="23" t="n">
        <v>45</v>
      </c>
      <c r="F40" s="51" t="n">
        <f aca="false">CHOOSE(Assumptions!$E$3,C40,D40,E40)</f>
        <v>40</v>
      </c>
    </row>
    <row r="41" customFormat="false" ht="15" hidden="false" customHeight="false" outlineLevel="0" collapsed="false">
      <c r="B41" s="6" t="str">
        <f aca="false">"DPO - "&amp;Segment_Revenue!H$4</f>
        <v>DPO - FY2030E</v>
      </c>
      <c r="C41" s="23" t="n">
        <v>35</v>
      </c>
      <c r="D41" s="23" t="n">
        <v>40</v>
      </c>
      <c r="E41" s="23" t="n">
        <v>45</v>
      </c>
      <c r="F41" s="51" t="n">
        <f aca="false">CHOOSE(Assumptions!$E$3,C41,D41,E41)</f>
        <v>40</v>
      </c>
    </row>
    <row r="43" customFormat="false" ht="15" hidden="false" customHeight="false" outlineLevel="0" collapsed="false">
      <c r="B43" s="7" t="s">
        <v>164</v>
      </c>
      <c r="C43" s="8"/>
      <c r="D43" s="8"/>
      <c r="E43" s="8"/>
      <c r="F43" s="8"/>
    </row>
    <row r="44" customFormat="false" ht="15" hidden="false" customHeight="false" outlineLevel="0" collapsed="false">
      <c r="B44" s="5" t="s">
        <v>165</v>
      </c>
      <c r="C44" s="11" t="n">
        <v>0.035</v>
      </c>
      <c r="D44" s="11" t="n">
        <v>0.03</v>
      </c>
      <c r="E44" s="11" t="n">
        <v>0.025</v>
      </c>
      <c r="F44" s="41" t="n">
        <f aca="false">CHOOSE(Assumptions!$E$3,C44,D44,E44)</f>
        <v>0.03</v>
      </c>
    </row>
    <row r="45" customFormat="false" ht="15" hidden="false" customHeight="false" outlineLevel="0" collapsed="false">
      <c r="B45" s="5" t="s">
        <v>76</v>
      </c>
      <c r="C45" s="52" t="n">
        <v>1.2</v>
      </c>
      <c r="D45" s="52" t="n">
        <v>1.1</v>
      </c>
      <c r="E45" s="52" t="n">
        <v>1</v>
      </c>
      <c r="F45" s="53" t="n">
        <f aca="false">CHOOSE(Assumptions!$E$3,C45,D45,E45)</f>
        <v>1.1</v>
      </c>
    </row>
    <row r="46" customFormat="false" ht="15" hidden="false" customHeight="false" outlineLevel="0" collapsed="false">
      <c r="B46" s="5" t="s">
        <v>26</v>
      </c>
      <c r="C46" s="11" t="n">
        <v>0.02</v>
      </c>
      <c r="D46" s="11" t="n">
        <v>0.025</v>
      </c>
      <c r="E46" s="11" t="n">
        <v>0.03</v>
      </c>
      <c r="F46" s="41" t="n">
        <f aca="false">CHOOSE(Assumptions!$E$3,C46,D46,E46)</f>
        <v>0.025</v>
      </c>
    </row>
    <row r="47" customFormat="false" ht="15" hidden="false" customHeight="false" outlineLevel="0" collapsed="false">
      <c r="B47" s="5" t="s">
        <v>82</v>
      </c>
      <c r="C47" s="54" t="n">
        <v>10</v>
      </c>
      <c r="D47" s="54" t="n">
        <v>12</v>
      </c>
      <c r="E47" s="54" t="n">
        <v>14</v>
      </c>
      <c r="F47" s="55" t="n">
        <f aca="false">CHOOSE(Assumptions!$E$3,C47,D47,E47)</f>
        <v>12</v>
      </c>
    </row>
    <row r="49" customFormat="false" ht="15" hidden="false" customHeight="false" outlineLevel="0" collapsed="false">
      <c r="B49" s="7" t="s">
        <v>166</v>
      </c>
      <c r="C49" s="8"/>
      <c r="D49" s="8"/>
      <c r="E49" s="8"/>
      <c r="F49" s="8"/>
    </row>
    <row r="50" customFormat="false" ht="15" hidden="false" customHeight="false" outlineLevel="0" collapsed="false">
      <c r="B50" s="30" t="s">
        <v>167</v>
      </c>
      <c r="C50" s="31" t="s">
        <v>158</v>
      </c>
      <c r="D50" s="31" t="s">
        <v>3</v>
      </c>
      <c r="E50" s="31" t="s">
        <v>159</v>
      </c>
    </row>
    <row r="51" customFormat="false" ht="15" hidden="false" customHeight="false" outlineLevel="0" collapsed="false">
      <c r="B51" s="5" t="s">
        <v>168</v>
      </c>
      <c r="C51" s="37" t="n">
        <v>4374.93780165566</v>
      </c>
      <c r="D51" s="37" t="n">
        <v>5948.40362250763</v>
      </c>
      <c r="E51" s="37" t="n">
        <v>8193.66429749176</v>
      </c>
    </row>
    <row r="52" customFormat="false" ht="15" hidden="false" customHeight="false" outlineLevel="0" collapsed="false">
      <c r="B52" s="5" t="s">
        <v>169</v>
      </c>
      <c r="C52" s="37" t="n">
        <v>5408.67941592382</v>
      </c>
      <c r="D52" s="37" t="n">
        <v>7557.4773913948</v>
      </c>
      <c r="E52" s="37" t="n">
        <v>10285.594039108</v>
      </c>
    </row>
    <row r="53" customFormat="false" ht="15" hidden="false" customHeight="false" outlineLevel="0" collapsed="false">
      <c r="B53" s="5" t="s">
        <v>170</v>
      </c>
      <c r="C53" s="56" t="n">
        <v>23.8329186777044</v>
      </c>
      <c r="D53" s="56" t="n">
        <v>34.3226908167175</v>
      </c>
      <c r="E53" s="56" t="n">
        <v>49.2910953166117</v>
      </c>
    </row>
    <row r="54" customFormat="false" ht="15" hidden="false" customHeight="false" outlineLevel="0" collapsed="false">
      <c r="B54" s="5" t="s">
        <v>171</v>
      </c>
      <c r="C54" s="56" t="n">
        <v>30.7245294394921</v>
      </c>
      <c r="D54" s="56" t="n">
        <v>45.0498492759654</v>
      </c>
      <c r="E54" s="56" t="n">
        <v>63.2372935940531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2"/>
  </cols>
  <sheetData>
    <row r="1" customFormat="false" ht="17.35" hidden="false" customHeight="false" outlineLevel="0" collapsed="false">
      <c r="B1" s="1" t="str">
        <f aca="false">CompanyName&amp;" - Sensitivity Analysis"</f>
        <v>Example Co. - Sensitivity Analysis</v>
      </c>
    </row>
    <row r="2" customFormat="false" ht="15" hidden="false" customHeight="false" outlineLevel="0" collapsed="false">
      <c r="B2" s="2" t="str">
        <f aca="false">"(Implied share price, $ per share; centered on the live "&amp;Assumptions!$C$3&amp;" case)"</f>
        <v>(Implied share price, $ per share; centered on the live Base case)</v>
      </c>
    </row>
    <row r="4" customFormat="false" ht="15" hidden="false" customHeight="false" outlineLevel="0" collapsed="false">
      <c r="B4" s="7" t="s">
        <v>172</v>
      </c>
      <c r="C4" s="8"/>
      <c r="D4" s="8"/>
      <c r="E4" s="8"/>
      <c r="F4" s="8"/>
      <c r="G4" s="8"/>
    </row>
    <row r="5" customFormat="false" ht="15" hidden="false" customHeight="false" outlineLevel="0" collapsed="false">
      <c r="B5" s="5" t="s">
        <v>173</v>
      </c>
      <c r="C5" s="11" t="n">
        <v>0.005</v>
      </c>
    </row>
    <row r="6" customFormat="false" ht="15" hidden="false" customHeight="false" outlineLevel="0" collapsed="false">
      <c r="B6" s="5" t="s">
        <v>174</v>
      </c>
      <c r="C6" s="11" t="n">
        <v>0.005</v>
      </c>
    </row>
    <row r="7" customFormat="false" ht="15" hidden="false" customHeight="false" outlineLevel="0" collapsed="false">
      <c r="B7" s="5" t="s">
        <v>175</v>
      </c>
      <c r="C7" s="54" t="n">
        <v>1</v>
      </c>
    </row>
    <row r="9" customFormat="false" ht="15" hidden="false" customHeight="false" outlineLevel="0" collapsed="false">
      <c r="B9" s="7" t="s">
        <v>176</v>
      </c>
      <c r="C9" s="8"/>
      <c r="D9" s="8"/>
      <c r="E9" s="8"/>
      <c r="F9" s="8"/>
      <c r="G9" s="8"/>
    </row>
    <row r="10" customFormat="false" ht="15" hidden="false" customHeight="false" outlineLevel="0" collapsed="false">
      <c r="B10" s="21" t="s">
        <v>177</v>
      </c>
      <c r="C10" s="57" t="n">
        <f aca="false">$E$10-2*$C$6</f>
        <v>0.015</v>
      </c>
      <c r="D10" s="57" t="n">
        <f aca="false">$E$10-1*$C$6</f>
        <v>0.02</v>
      </c>
      <c r="E10" s="58" t="n">
        <f aca="false">DCF!$C$26</f>
        <v>0.025</v>
      </c>
      <c r="F10" s="57" t="n">
        <f aca="false">$E$10+1*$C$6</f>
        <v>0.03</v>
      </c>
      <c r="G10" s="57" t="n">
        <f aca="false">$E$10+2*$C$6</f>
        <v>0.035</v>
      </c>
    </row>
    <row r="11" customFormat="false" ht="15" hidden="false" customHeight="false" outlineLevel="0" collapsed="false">
      <c r="B11" s="57" t="n">
        <f aca="false">$B$13-2*$C$5</f>
        <v>0.0847142857142857</v>
      </c>
      <c r="C11" s="56" t="n">
        <f aca="false">IF(OR($B11&lt;=C$10,DCF!$C$37=0),0,(SUMPRODUCT(DCF!$D$13:$H$13/(1+$B11)^DCF!$D$18:$H$18)+DCF!$C$25*(1+C$10)/($B11-C$10)/(1+$B11)^DCF!$C$30+DCF!$C$35)/DCF!$C$37)</f>
        <v>35.6333002935602</v>
      </c>
      <c r="D11" s="56" t="n">
        <f aca="false">IF(OR($B11&lt;=D$10,DCF!$C$37=0),0,(SUMPRODUCT(DCF!$D$13:$H$13/(1+$B11)^DCF!$D$18:$H$18)+DCF!$C$25*(1+D$10)/($B11-D$10)/(1+$B11)^DCF!$C$30+DCF!$C$35)/DCF!$C$37)</f>
        <v>38.1133974041431</v>
      </c>
      <c r="E11" s="56" t="n">
        <f aca="false">IF(OR($B11&lt;=E$10,DCF!$C$37=0),0,(SUMPRODUCT(DCF!$D$13:$H$13/(1+$B11)^DCF!$D$18:$H$18)+DCF!$C$25*(1+E$10)/($B11-E$10)/(1+$B11)^DCF!$C$30+DCF!$C$35)/DCF!$C$37)</f>
        <v>41.0088217820485</v>
      </c>
      <c r="F11" s="56" t="n">
        <f aca="false">IF(OR($B11&lt;=F$10,DCF!$C$37=0),0,(SUMPRODUCT(DCF!$D$13:$H$13/(1+$B11)^DCF!$D$18:$H$18)+DCF!$C$25*(1+F$10)/($B11-F$10)/(1+$B11)^DCF!$C$30+DCF!$C$35)/DCF!$C$37)</f>
        <v>44.4334359940359</v>
      </c>
      <c r="G11" s="56" t="n">
        <f aca="false">IF(OR($B11&lt;=G$10,DCF!$C$37=0),0,(SUMPRODUCT(DCF!$D$13:$H$13/(1+$B11)^DCF!$D$18:$H$18)+DCF!$C$25*(1+G$10)/($B11-G$10)/(1+$B11)^DCF!$C$30+DCF!$C$35)/DCF!$C$37)</f>
        <v>48.5469093865953</v>
      </c>
    </row>
    <row r="12" customFormat="false" ht="15" hidden="false" customHeight="false" outlineLevel="0" collapsed="false">
      <c r="B12" s="57" t="n">
        <f aca="false">$B$13-1*$C$5</f>
        <v>0.0897142857142857</v>
      </c>
      <c r="C12" s="56" t="n">
        <f aca="false">IF(OR($B12&lt;=C$10,DCF!$C$37=0),0,(SUMPRODUCT(DCF!$D$13:$H$13/(1+$B12)^DCF!$D$18:$H$18)+DCF!$C$25*(1+C$10)/($B12-C$10)/(1+$B12)^DCF!$C$30+DCF!$C$35)/DCF!$C$37)</f>
        <v>32.861790048407</v>
      </c>
      <c r="D12" s="56" t="n">
        <f aca="false">IF(OR($B12&lt;=D$10,DCF!$C$37=0),0,(SUMPRODUCT(DCF!$D$13:$H$13/(1+$B12)^DCF!$D$18:$H$18)+DCF!$C$25*(1+D$10)/($B12-D$10)/(1+$B12)^DCF!$C$30+DCF!$C$35)/DCF!$C$37)</f>
        <v>34.9707875319424</v>
      </c>
      <c r="E12" s="56" t="n">
        <f aca="false">IF(OR($B12&lt;=E$10,DCF!$C$37=0),0,(SUMPRODUCT(DCF!$D$13:$H$13/(1+$B12)^DCF!$D$18:$H$18)+DCF!$C$25*(1+E$10)/($B12-E$10)/(1+$B12)^DCF!$C$30+DCF!$C$35)/DCF!$C$37)</f>
        <v>37.4056786663552</v>
      </c>
      <c r="F12" s="56" t="n">
        <f aca="false">IF(OR($B12&lt;=F$10,DCF!$C$37=0),0,(SUMPRODUCT(DCF!$D$13:$H$13/(1+$B12)^DCF!$D$18:$H$18)+DCF!$C$25*(1+F$10)/($B12-F$10)/(1+$B12)^DCF!$C$30+DCF!$C$35)/DCF!$C$37)</f>
        <v>40.2483266893061</v>
      </c>
      <c r="G12" s="56" t="n">
        <f aca="false">IF(OR($B12&lt;=G$10,DCF!$C$37=0),0,(SUMPRODUCT(DCF!$D$13:$H$13/(1+$B12)^DCF!$D$18:$H$18)+DCF!$C$25*(1+G$10)/($B12-G$10)/(1+$B12)^DCF!$C$30+DCF!$C$35)/DCF!$C$37)</f>
        <v>43.6105187373393</v>
      </c>
    </row>
    <row r="13" customFormat="false" ht="15" hidden="false" customHeight="false" outlineLevel="0" collapsed="false">
      <c r="B13" s="58" t="n">
        <f aca="false">DCF!$C$16</f>
        <v>0.0947142857142857</v>
      </c>
      <c r="C13" s="56" t="n">
        <f aca="false">IF(OR($B13&lt;=C$10,DCF!$C$37=0),0,(SUMPRODUCT(DCF!$D$13:$H$13/(1+$B13)^DCF!$D$18:$H$18)+DCF!$C$25*(1+C$10)/($B13-C$10)/(1+$B13)^DCF!$C$30+DCF!$C$35)/DCF!$C$37)</f>
        <v>30.4409996222335</v>
      </c>
      <c r="D13" s="56" t="n">
        <f aca="false">IF(OR($B13&lt;=D$10,DCF!$C$37=0),0,(SUMPRODUCT(DCF!$D$13:$H$13/(1+$B13)^DCF!$D$18:$H$18)+DCF!$C$25*(1+D$10)/($B13-D$10)/(1+$B13)^DCF!$C$30+DCF!$C$35)/DCF!$C$37)</f>
        <v>32.2519607148799</v>
      </c>
      <c r="E13" s="59" t="n">
        <f aca="false">IF(OR($B13&lt;=E$10,DCF!$C$37=0),0,(SUMPRODUCT(DCF!$D$13:$H$13/(1+$B13)^DCF!$D$18:$H$18)+DCF!$C$25*(1+E$10)/($B13-E$10)/(1+$B13)^DCF!$C$30+DCF!$C$35)/DCF!$C$37)</f>
        <v>34.3226908167175</v>
      </c>
      <c r="F13" s="56" t="n">
        <f aca="false">IF(OR($B13&lt;=F$10,DCF!$C$37=0),0,(SUMPRODUCT(DCF!$D$13:$H$13/(1+$B13)^DCF!$D$18:$H$18)+DCF!$C$25*(1+F$10)/($B13-F$10)/(1+$B13)^DCF!$C$30+DCF!$C$35)/DCF!$C$37)</f>
        <v>36.7134012874924</v>
      </c>
      <c r="G13" s="56" t="n">
        <f aca="false">IF(OR($B13&lt;=G$10,DCF!$C$37=0),0,(SUMPRODUCT(DCF!$D$13:$H$13/(1+$B13)^DCF!$D$18:$H$18)+DCF!$C$25*(1+G$10)/($B13-G$10)/(1+$B13)^DCF!$C$30+DCF!$C$35)/DCF!$C$37)</f>
        <v>39.5044699710766</v>
      </c>
    </row>
    <row r="14" customFormat="false" ht="15" hidden="false" customHeight="false" outlineLevel="0" collapsed="false">
      <c r="B14" s="57" t="n">
        <f aca="false">$B$13+1*$C$5</f>
        <v>0.0997142857142857</v>
      </c>
      <c r="C14" s="56" t="n">
        <f aca="false">IF(OR($B14&lt;=C$10,DCF!$C$37=0),0,(SUMPRODUCT(DCF!$D$13:$H$13/(1+$B14)^DCF!$D$18:$H$18)+DCF!$C$25*(1+C$10)/($B14-C$10)/(1+$B14)^DCF!$C$30+DCF!$C$35)/DCF!$C$37)</f>
        <v>28.3087144350216</v>
      </c>
      <c r="D14" s="56" t="n">
        <f aca="false">IF(OR($B14&lt;=D$10,DCF!$C$37=0),0,(SUMPRODUCT(DCF!$D$13:$H$13/(1+$B14)^DCF!$D$18:$H$18)+DCF!$C$25*(1+D$10)/($B14-D$10)/(1+$B14)^DCF!$C$30+DCF!$C$35)/DCF!$C$37)</f>
        <v>29.8770528873553</v>
      </c>
      <c r="E14" s="56" t="n">
        <f aca="false">IF(OR($B14&lt;=E$10,DCF!$C$37=0),0,(SUMPRODUCT(DCF!$D$13:$H$13/(1+$B14)^DCF!$D$18:$H$18)+DCF!$C$25*(1+E$10)/($B14-E$10)/(1+$B14)^DCF!$C$30+DCF!$C$35)/DCF!$C$37)</f>
        <v>31.6553027960244</v>
      </c>
      <c r="F14" s="56" t="n">
        <f aca="false">IF(OR($B14&lt;=F$10,DCF!$C$37=0),0,(SUMPRODUCT(DCF!$D$13:$H$13/(1+$B14)^DCF!$D$18:$H$18)+DCF!$C$25*(1+F$10)/($B14-F$10)/(1+$B14)^DCF!$C$30+DCF!$C$35)/DCF!$C$37)</f>
        <v>33.688629535855</v>
      </c>
      <c r="G14" s="56" t="n">
        <f aca="false">IF(OR($B14&lt;=G$10,DCF!$C$37=0),0,(SUMPRODUCT(DCF!$D$13:$H$13/(1+$B14)^DCF!$D$18:$H$18)+DCF!$C$25*(1+G$10)/($B14-G$10)/(1+$B14)^DCF!$C$30+DCF!$C$35)/DCF!$C$37)</f>
        <v>36.0361568756594</v>
      </c>
    </row>
    <row r="15" customFormat="false" ht="15" hidden="false" customHeight="false" outlineLevel="0" collapsed="false">
      <c r="B15" s="57" t="n">
        <f aca="false">$B$13+2*$C$5</f>
        <v>0.104714285714286</v>
      </c>
      <c r="C15" s="56" t="n">
        <f aca="false">IF(OR($B15&lt;=C$10,DCF!$C$37=0),0,(SUMPRODUCT(DCF!$D$13:$H$13/(1+$B15)^DCF!$D$18:$H$18)+DCF!$C$25*(1+C$10)/($B15-C$10)/(1+$B15)^DCF!$C$30+DCF!$C$35)/DCF!$C$37)</f>
        <v>26.4165939219825</v>
      </c>
      <c r="D15" s="56" t="n">
        <f aca="false">IF(OR($B15&lt;=D$10,DCF!$C$37=0),0,(SUMPRODUCT(DCF!$D$13:$H$13/(1+$B15)^DCF!$D$18:$H$18)+DCF!$C$25*(1+D$10)/($B15-D$10)/(1+$B15)^DCF!$C$30+DCF!$C$35)/DCF!$C$37)</f>
        <v>27.7850596711714</v>
      </c>
      <c r="E15" s="56" t="n">
        <f aca="false">IF(OR($B15&lt;=E$10,DCF!$C$37=0),0,(SUMPRODUCT(DCF!$D$13:$H$13/(1+$B15)^DCF!$D$18:$H$18)+DCF!$C$25*(1+E$10)/($B15-E$10)/(1+$B15)^DCF!$C$30+DCF!$C$35)/DCF!$C$37)</f>
        <v>29.3251967509037</v>
      </c>
      <c r="F15" s="56" t="n">
        <f aca="false">IF(OR($B15&lt;=F$10,DCF!$C$37=0),0,(SUMPRODUCT(DCF!$D$13:$H$13/(1+$B15)^DCF!$D$18:$H$18)+DCF!$C$25*(1+F$10)/($B15-F$10)/(1+$B15)^DCF!$C$30+DCF!$C$35)/DCF!$C$37)</f>
        <v>31.0714707246728</v>
      </c>
      <c r="G15" s="56" t="n">
        <f aca="false">IF(OR($B15&lt;=G$10,DCF!$C$37=0),0,(SUMPRODUCT(DCF!$D$13:$H$13/(1+$B15)^DCF!$D$18:$H$18)+DCF!$C$25*(1+G$10)/($B15-G$10)/(1+$B15)^DCF!$C$30+DCF!$C$35)/DCF!$C$37)</f>
        <v>33.0682348176301</v>
      </c>
    </row>
    <row r="17" customFormat="false" ht="15" hidden="false" customHeight="false" outlineLevel="0" collapsed="false">
      <c r="B17" s="7" t="s">
        <v>178</v>
      </c>
      <c r="C17" s="8"/>
      <c r="D17" s="8"/>
      <c r="E17" s="8"/>
      <c r="F17" s="8"/>
      <c r="G17" s="8"/>
    </row>
    <row r="18" customFormat="false" ht="15" hidden="false" customHeight="false" outlineLevel="0" collapsed="false">
      <c r="B18" s="21" t="s">
        <v>179</v>
      </c>
      <c r="C18" s="60" t="n">
        <f aca="false">$E$18-2*$C$7</f>
        <v>10</v>
      </c>
      <c r="D18" s="60" t="n">
        <f aca="false">$E$18-1*$C$7</f>
        <v>11</v>
      </c>
      <c r="E18" s="61" t="n">
        <f aca="false">DCF!$D$28</f>
        <v>12</v>
      </c>
      <c r="F18" s="60" t="n">
        <f aca="false">$E$18+1*$C$7</f>
        <v>13</v>
      </c>
      <c r="G18" s="60" t="n">
        <f aca="false">$E$18+2*$C$7</f>
        <v>14</v>
      </c>
    </row>
    <row r="19" customFormat="false" ht="15" hidden="false" customHeight="false" outlineLevel="0" collapsed="false">
      <c r="B19" s="57" t="n">
        <f aca="false">$B$21-2*$C$5</f>
        <v>0.0847142857142857</v>
      </c>
      <c r="C19" s="56" t="n">
        <f aca="false">IF(DCF!$D$37=0,0,(SUMPRODUCT(DCF!$D$13:$H$13/(1+$B19)^DCF!$D$18:$H$18)+DCF!$D$27*C$18/(1+$B19)^DCF!$D$30+DCF!$D$35)/DCF!$D$37)</f>
        <v>40.2328442187698</v>
      </c>
      <c r="D19" s="56" t="n">
        <f aca="false">IF(DCF!$D$37=0,0,(SUMPRODUCT(DCF!$D$13:$H$13/(1+$B19)^DCF!$D$18:$H$18)+DCF!$D$27*D$18/(1+$B19)^DCF!$D$30+DCF!$D$35)/DCF!$D$37)</f>
        <v>43.6964500032583</v>
      </c>
      <c r="E19" s="56" t="n">
        <f aca="false">IF(DCF!$D$37=0,0,(SUMPRODUCT(DCF!$D$13:$H$13/(1+$B19)^DCF!$D$18:$H$18)+DCF!$D$27*E$18/(1+$B19)^DCF!$D$30+DCF!$D$35)/DCF!$D$37)</f>
        <v>47.1600557877468</v>
      </c>
      <c r="F19" s="56" t="n">
        <f aca="false">IF(DCF!$D$37=0,0,(SUMPRODUCT(DCF!$D$13:$H$13/(1+$B19)^DCF!$D$18:$H$18)+DCF!$D$27*F$18/(1+$B19)^DCF!$D$30+DCF!$D$35)/DCF!$D$37)</f>
        <v>50.6236615722352</v>
      </c>
      <c r="G19" s="56" t="n">
        <f aca="false">IF(DCF!$D$37=0,0,(SUMPRODUCT(DCF!$D$13:$H$13/(1+$B19)^DCF!$D$18:$H$18)+DCF!$D$27*G$18/(1+$B19)^DCF!$D$30+DCF!$D$35)/DCF!$D$37)</f>
        <v>54.0872673567237</v>
      </c>
    </row>
    <row r="20" customFormat="false" ht="15" hidden="false" customHeight="false" outlineLevel="0" collapsed="false">
      <c r="B20" s="57" t="n">
        <f aca="false">$B$21-1*$C$5</f>
        <v>0.0897142857142857</v>
      </c>
      <c r="C20" s="56" t="n">
        <f aca="false">IF(DCF!$D$37=0,0,(SUMPRODUCT(DCF!$D$13:$H$13/(1+$B20)^DCF!$D$18:$H$18)+DCF!$D$27*C$18/(1+$B20)^DCF!$D$30+DCF!$D$35)/DCF!$D$37)</f>
        <v>39.3211739899137</v>
      </c>
      <c r="D20" s="56" t="n">
        <f aca="false">IF(DCF!$D$37=0,0,(SUMPRODUCT(DCF!$D$13:$H$13/(1+$B20)^DCF!$D$18:$H$18)+DCF!$D$27*D$18/(1+$B20)^DCF!$D$30+DCF!$D$35)/DCF!$D$37)</f>
        <v>42.7060443021156</v>
      </c>
      <c r="E20" s="56" t="n">
        <f aca="false">IF(DCF!$D$37=0,0,(SUMPRODUCT(DCF!$D$13:$H$13/(1+$B20)^DCF!$D$18:$H$18)+DCF!$D$27*E$18/(1+$B20)^DCF!$D$30+DCF!$D$35)/DCF!$D$37)</f>
        <v>46.0909146143176</v>
      </c>
      <c r="F20" s="56" t="n">
        <f aca="false">IF(DCF!$D$37=0,0,(SUMPRODUCT(DCF!$D$13:$H$13/(1+$B20)^DCF!$D$18:$H$18)+DCF!$D$27*F$18/(1+$B20)^DCF!$D$30+DCF!$D$35)/DCF!$D$37)</f>
        <v>49.4757849265195</v>
      </c>
      <c r="G20" s="56" t="n">
        <f aca="false">IF(DCF!$D$37=0,0,(SUMPRODUCT(DCF!$D$13:$H$13/(1+$B20)^DCF!$D$18:$H$18)+DCF!$D$27*G$18/(1+$B20)^DCF!$D$30+DCF!$D$35)/DCF!$D$37)</f>
        <v>52.8606552387214</v>
      </c>
    </row>
    <row r="21" customFormat="false" ht="15" hidden="false" customHeight="false" outlineLevel="0" collapsed="false">
      <c r="B21" s="58" t="n">
        <f aca="false">DCF!$C$16</f>
        <v>0.0947142857142857</v>
      </c>
      <c r="C21" s="56" t="n">
        <f aca="false">IF(DCF!$D$37=0,0,(SUMPRODUCT(DCF!$D$13:$H$13/(1+$B21)^DCF!$D$18:$H$18)+DCF!$D$27*C$18/(1+$B21)^DCF!$D$30+DCF!$D$35)/DCF!$D$37)</f>
        <v>38.4333034683676</v>
      </c>
      <c r="D21" s="56" t="n">
        <f aca="false">IF(DCF!$D$37=0,0,(SUMPRODUCT(DCF!$D$13:$H$13/(1+$B21)^DCF!$D$18:$H$18)+DCF!$D$27*D$18/(1+$B21)^DCF!$D$30+DCF!$D$35)/DCF!$D$37)</f>
        <v>41.7415763721665</v>
      </c>
      <c r="E21" s="59" t="n">
        <f aca="false">IF(DCF!$D$37=0,0,(SUMPRODUCT(DCF!$D$13:$H$13/(1+$B21)^DCF!$D$18:$H$18)+DCF!$D$27*E$18/(1+$B21)^DCF!$D$30+DCF!$D$35)/DCF!$D$37)</f>
        <v>45.0498492759654</v>
      </c>
      <c r="F21" s="56" t="n">
        <f aca="false">IF(DCF!$D$37=0,0,(SUMPRODUCT(DCF!$D$13:$H$13/(1+$B21)^DCF!$D$18:$H$18)+DCF!$D$27*F$18/(1+$B21)^DCF!$D$30+DCF!$D$35)/DCF!$D$37)</f>
        <v>48.3581221797642</v>
      </c>
      <c r="G21" s="56" t="n">
        <f aca="false">IF(DCF!$D$37=0,0,(SUMPRODUCT(DCF!$D$13:$H$13/(1+$B21)^DCF!$D$18:$H$18)+DCF!$D$27*G$18/(1+$B21)^DCF!$D$30+DCF!$D$35)/DCF!$D$37)</f>
        <v>51.6663950835631</v>
      </c>
    </row>
    <row r="22" customFormat="false" ht="15" hidden="false" customHeight="false" outlineLevel="0" collapsed="false">
      <c r="B22" s="57" t="n">
        <f aca="false">$B$21+1*$C$5</f>
        <v>0.0997142857142857</v>
      </c>
      <c r="C22" s="56" t="n">
        <f aca="false">IF(DCF!$D$37=0,0,(SUMPRODUCT(DCF!$D$13:$H$13/(1+$B22)^DCF!$D$18:$H$18)+DCF!$D$27*C$18/(1+$B22)^DCF!$D$30+DCF!$D$35)/DCF!$D$37)</f>
        <v>37.5684971287502</v>
      </c>
      <c r="D22" s="56" t="n">
        <f aca="false">IF(DCF!$D$37=0,0,(SUMPRODUCT(DCF!$D$13:$H$13/(1+$B22)^DCF!$D$18:$H$18)+DCF!$D$27*D$18/(1+$B22)^DCF!$D$30+DCF!$D$35)/DCF!$D$37)</f>
        <v>40.8022432579523</v>
      </c>
      <c r="E22" s="56" t="n">
        <f aca="false">IF(DCF!$D$37=0,0,(SUMPRODUCT(DCF!$D$13:$H$13/(1+$B22)^DCF!$D$18:$H$18)+DCF!$D$27*E$18/(1+$B22)^DCF!$D$30+DCF!$D$35)/DCF!$D$37)</f>
        <v>44.0359893871544</v>
      </c>
      <c r="F22" s="56" t="n">
        <f aca="false">IF(DCF!$D$37=0,0,(SUMPRODUCT(DCF!$D$13:$H$13/(1+$B22)^DCF!$D$18:$H$18)+DCF!$D$27*F$18/(1+$B22)^DCF!$D$30+DCF!$D$35)/DCF!$D$37)</f>
        <v>47.2697355163564</v>
      </c>
      <c r="G22" s="56" t="n">
        <f aca="false">IF(DCF!$D$37=0,0,(SUMPRODUCT(DCF!$D$13:$H$13/(1+$B22)^DCF!$D$18:$H$18)+DCF!$D$27*G$18/(1+$B22)^DCF!$D$30+DCF!$D$35)/DCF!$D$37)</f>
        <v>50.5034816455585</v>
      </c>
    </row>
    <row r="23" customFormat="false" ht="15" hidden="false" customHeight="false" outlineLevel="0" collapsed="false">
      <c r="B23" s="57" t="n">
        <f aca="false">$B$21+2*$C$5</f>
        <v>0.104714285714286</v>
      </c>
      <c r="C23" s="56" t="n">
        <f aca="false">IF(DCF!$D$37=0,0,(SUMPRODUCT(DCF!$D$13:$H$13/(1+$B23)^DCF!$D$18:$H$18)+DCF!$D$27*C$18/(1+$B23)^DCF!$D$30+DCF!$D$35)/DCF!$D$37)</f>
        <v>36.7260455078291</v>
      </c>
      <c r="D23" s="56" t="n">
        <f aca="false">IF(DCF!$D$37=0,0,(SUMPRODUCT(DCF!$D$13:$H$13/(1+$B23)^DCF!$D$18:$H$18)+DCF!$D$27*D$18/(1+$B23)^DCF!$D$30+DCF!$D$35)/DCF!$D$37)</f>
        <v>39.8872704856508</v>
      </c>
      <c r="E23" s="56" t="n">
        <f aca="false">IF(DCF!$D$37=0,0,(SUMPRODUCT(DCF!$D$13:$H$13/(1+$B23)^DCF!$D$18:$H$18)+DCF!$D$27*E$18/(1+$B23)^DCF!$D$30+DCF!$D$35)/DCF!$D$37)</f>
        <v>43.0484954634726</v>
      </c>
      <c r="F23" s="56" t="n">
        <f aca="false">IF(DCF!$D$37=0,0,(SUMPRODUCT(DCF!$D$13:$H$13/(1+$B23)^DCF!$D$18:$H$18)+DCF!$D$27*F$18/(1+$B23)^DCF!$D$30+DCF!$D$35)/DCF!$D$37)</f>
        <v>46.2097204412944</v>
      </c>
      <c r="G23" s="56" t="n">
        <f aca="false">IF(DCF!$D$37=0,0,(SUMPRODUCT(DCF!$D$13:$H$13/(1+$B23)^DCF!$D$18:$H$18)+DCF!$D$27*G$18/(1+$B23)^DCF!$D$30+DCF!$D$35)/DCF!$D$37)</f>
        <v>49.3709454191162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16" min="3" style="0" width="12"/>
    <col collapsed="false" customWidth="true" hidden="false" outlineLevel="0" max="17" min="17" style="0" width="40"/>
  </cols>
  <sheetData>
    <row r="1" customFormat="false" ht="17.35" hidden="false" customHeight="false" outlineLevel="0" collapsed="false">
      <c r="B1" s="1" t="str">
        <f aca="false">CompanyName&amp;" - Comparable Companies Analysis"</f>
        <v>Example Co. - Comparable Companies Analysis</v>
      </c>
    </row>
    <row r="2" customFormat="false" ht="15" hidden="false" customHeight="false" outlineLevel="0" collapsed="false">
      <c r="B2" s="2" t="str">
        <f aca="false">"("&amp;Units&amp;" except per-share data; peer data is hand-entered in blue)"</f>
        <v>($ in millions except per-share data; peer data is hand-entered in blue)</v>
      </c>
    </row>
    <row r="4" customFormat="false" ht="15" hidden="false" customHeight="false" outlineLevel="0" collapsed="false">
      <c r="B4" s="7" t="s">
        <v>180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30" hidden="false" customHeight="true" outlineLevel="0" collapsed="false">
      <c r="B5" s="13" t="s">
        <v>181</v>
      </c>
      <c r="C5" s="14" t="s">
        <v>13</v>
      </c>
      <c r="D5" s="14" t="s">
        <v>182</v>
      </c>
      <c r="E5" s="14" t="s">
        <v>183</v>
      </c>
      <c r="F5" s="14" t="s">
        <v>184</v>
      </c>
      <c r="G5" s="14" t="s">
        <v>83</v>
      </c>
      <c r="H5" s="14" t="s">
        <v>185</v>
      </c>
      <c r="I5" s="14" t="s">
        <v>186</v>
      </c>
      <c r="J5" s="14" t="s">
        <v>187</v>
      </c>
      <c r="K5" s="14" t="s">
        <v>188</v>
      </c>
      <c r="L5" s="14" t="s">
        <v>189</v>
      </c>
      <c r="M5" s="14" t="s">
        <v>190</v>
      </c>
      <c r="N5" s="14" t="s">
        <v>191</v>
      </c>
      <c r="O5" s="14" t="s">
        <v>192</v>
      </c>
      <c r="P5" s="14" t="s">
        <v>193</v>
      </c>
      <c r="Q5" s="13" t="s">
        <v>194</v>
      </c>
    </row>
    <row r="6" customFormat="false" ht="15" hidden="false" customHeight="false" outlineLevel="0" collapsed="false">
      <c r="B6" s="4" t="s">
        <v>195</v>
      </c>
      <c r="C6" s="4" t="s">
        <v>196</v>
      </c>
      <c r="D6" s="62" t="n">
        <v>52</v>
      </c>
      <c r="E6" s="29" t="n">
        <v>120</v>
      </c>
      <c r="F6" s="37" t="n">
        <f aca="false">IF(AND(ISNUMBER(D6),ISNUMBER(E6)),D6*E6,"")</f>
        <v>6240</v>
      </c>
      <c r="G6" s="15" t="n">
        <v>600</v>
      </c>
      <c r="H6" s="37" t="n">
        <f aca="false">IF(AND(ISNUMBER(F6),ISNUMBER(G6)),F6+G6,"")</f>
        <v>6840</v>
      </c>
      <c r="I6" s="15" t="n">
        <v>1800</v>
      </c>
      <c r="J6" s="15" t="n">
        <v>1930</v>
      </c>
      <c r="K6" s="15" t="n">
        <v>560</v>
      </c>
      <c r="L6" s="15" t="n">
        <v>610</v>
      </c>
      <c r="M6" s="15" t="n">
        <v>430</v>
      </c>
      <c r="N6" s="15" t="n">
        <v>470</v>
      </c>
      <c r="O6" s="62" t="n">
        <v>2.4</v>
      </c>
      <c r="P6" s="62" t="n">
        <v>2.65</v>
      </c>
      <c r="Q6" s="4" t="s">
        <v>197</v>
      </c>
    </row>
    <row r="7" customFormat="false" ht="15" hidden="false" customHeight="false" outlineLevel="0" collapsed="false">
      <c r="B7" s="4" t="s">
        <v>198</v>
      </c>
      <c r="C7" s="4" t="s">
        <v>199</v>
      </c>
      <c r="D7" s="62" t="n">
        <v>88.5</v>
      </c>
      <c r="E7" s="29" t="n">
        <v>85</v>
      </c>
      <c r="F7" s="37" t="n">
        <f aca="false">IF(AND(ISNUMBER(D7),ISNUMBER(E7)),D7*E7,"")</f>
        <v>7522.5</v>
      </c>
      <c r="G7" s="15" t="n">
        <v>1200</v>
      </c>
      <c r="H7" s="37" t="n">
        <f aca="false">IF(AND(ISNUMBER(F7),ISNUMBER(G7)),F7+G7,"")</f>
        <v>8722.5</v>
      </c>
      <c r="I7" s="15" t="n">
        <v>3100</v>
      </c>
      <c r="J7" s="15" t="n">
        <v>3300</v>
      </c>
      <c r="K7" s="15" t="n">
        <v>900</v>
      </c>
      <c r="L7" s="15" t="n">
        <v>980</v>
      </c>
      <c r="M7" s="15" t="n">
        <v>700</v>
      </c>
      <c r="N7" s="15" t="n">
        <v>765</v>
      </c>
      <c r="O7" s="62" t="n">
        <v>5.1</v>
      </c>
      <c r="P7" s="62" t="n">
        <v>5.6</v>
      </c>
      <c r="Q7" s="4" t="s">
        <v>197</v>
      </c>
    </row>
    <row r="8" customFormat="false" ht="15" hidden="false" customHeight="false" outlineLevel="0" collapsed="false">
      <c r="B8" s="4" t="s">
        <v>200</v>
      </c>
      <c r="C8" s="4" t="s">
        <v>201</v>
      </c>
      <c r="D8" s="62" t="n">
        <v>34.25</v>
      </c>
      <c r="E8" s="29" t="n">
        <v>210</v>
      </c>
      <c r="F8" s="37" t="n">
        <f aca="false">IF(AND(ISNUMBER(D8),ISNUMBER(E8)),D8*E8,"")</f>
        <v>7192.5</v>
      </c>
      <c r="G8" s="15" t="n">
        <v>300</v>
      </c>
      <c r="H8" s="37" t="n">
        <f aca="false">IF(AND(ISNUMBER(F8),ISNUMBER(G8)),F8+G8,"")</f>
        <v>7492.5</v>
      </c>
      <c r="I8" s="15" t="n">
        <v>2500</v>
      </c>
      <c r="J8" s="15" t="n">
        <v>2700</v>
      </c>
      <c r="K8" s="15" t="n">
        <v>650</v>
      </c>
      <c r="L8" s="15" t="n">
        <v>720</v>
      </c>
      <c r="M8" s="15" t="n">
        <v>480</v>
      </c>
      <c r="N8" s="15" t="n">
        <v>540</v>
      </c>
      <c r="O8" s="62" t="n">
        <v>1.55</v>
      </c>
      <c r="P8" s="62" t="n">
        <v>1.75</v>
      </c>
      <c r="Q8" s="4" t="s">
        <v>197</v>
      </c>
    </row>
    <row r="9" customFormat="false" ht="15" hidden="false" customHeight="false" outlineLevel="0" collapsed="false">
      <c r="B9" s="4" t="s">
        <v>202</v>
      </c>
      <c r="C9" s="4" t="s">
        <v>203</v>
      </c>
      <c r="D9" s="62" t="n">
        <v>120</v>
      </c>
      <c r="E9" s="29" t="n">
        <v>60</v>
      </c>
      <c r="F9" s="37" t="n">
        <f aca="false">IF(AND(ISNUMBER(D9),ISNUMBER(E9)),D9*E9,"")</f>
        <v>7200</v>
      </c>
      <c r="G9" s="15" t="n">
        <v>-250</v>
      </c>
      <c r="H9" s="37" t="n">
        <f aca="false">IF(AND(ISNUMBER(F9),ISNUMBER(G9)),F9+G9,"")</f>
        <v>6950</v>
      </c>
      <c r="I9" s="15" t="n">
        <v>1500</v>
      </c>
      <c r="J9" s="15" t="n">
        <v>1650</v>
      </c>
      <c r="K9" s="15" t="n">
        <v>520</v>
      </c>
      <c r="L9" s="15" t="n">
        <v>575</v>
      </c>
      <c r="M9" s="15" t="n">
        <v>410</v>
      </c>
      <c r="N9" s="15" t="n">
        <v>455</v>
      </c>
      <c r="O9" s="62" t="n">
        <v>5.2</v>
      </c>
      <c r="P9" s="62" t="n">
        <v>5.8</v>
      </c>
      <c r="Q9" s="4" t="s">
        <v>197</v>
      </c>
    </row>
    <row r="10" customFormat="false" ht="15" hidden="false" customHeight="false" outlineLevel="0" collapsed="false">
      <c r="B10" s="4" t="s">
        <v>204</v>
      </c>
      <c r="C10" s="4" t="s">
        <v>205</v>
      </c>
      <c r="D10" s="62" t="n">
        <v>45.75</v>
      </c>
      <c r="E10" s="29" t="n">
        <v>150</v>
      </c>
      <c r="F10" s="37" t="n">
        <f aca="false">IF(AND(ISNUMBER(D10),ISNUMBER(E10)),D10*E10,"")</f>
        <v>6862.5</v>
      </c>
      <c r="G10" s="15" t="n">
        <v>900</v>
      </c>
      <c r="H10" s="37" t="n">
        <f aca="false">IF(AND(ISNUMBER(F10),ISNUMBER(G10)),F10+G10,"")</f>
        <v>7762.5</v>
      </c>
      <c r="I10" s="15" t="n">
        <v>2200</v>
      </c>
      <c r="J10" s="15" t="n">
        <v>2330</v>
      </c>
      <c r="K10" s="15" t="n">
        <v>600</v>
      </c>
      <c r="L10" s="15" t="n">
        <v>640</v>
      </c>
      <c r="M10" s="15" t="n">
        <v>450</v>
      </c>
      <c r="N10" s="15" t="n">
        <v>485</v>
      </c>
      <c r="O10" s="62" t="n">
        <v>2.05</v>
      </c>
      <c r="P10" s="62" t="n">
        <v>2.25</v>
      </c>
      <c r="Q10" s="4" t="s">
        <v>197</v>
      </c>
    </row>
    <row r="11" customFormat="false" ht="15" hidden="false" customHeight="false" outlineLevel="0" collapsed="false">
      <c r="B11" s="4" t="s">
        <v>206</v>
      </c>
      <c r="C11" s="4" t="s">
        <v>207</v>
      </c>
      <c r="D11" s="62" t="n">
        <v>18.4</v>
      </c>
      <c r="E11" s="29" t="n">
        <v>400</v>
      </c>
      <c r="F11" s="37" t="n">
        <f aca="false">IF(AND(ISNUMBER(D11),ISNUMBER(E11)),D11*E11,"")</f>
        <v>7360</v>
      </c>
      <c r="G11" s="15" t="n">
        <v>2500</v>
      </c>
      <c r="H11" s="37" t="n">
        <f aca="false">IF(AND(ISNUMBER(F11),ISNUMBER(G11)),F11+G11,"")</f>
        <v>9860</v>
      </c>
      <c r="I11" s="15" t="n">
        <v>4200</v>
      </c>
      <c r="J11" s="15" t="n">
        <v>4350</v>
      </c>
      <c r="K11" s="15" t="n">
        <v>700</v>
      </c>
      <c r="L11" s="15" t="n">
        <v>760</v>
      </c>
      <c r="M11" s="15" t="n">
        <v>380</v>
      </c>
      <c r="N11" s="15" t="n">
        <v>420</v>
      </c>
      <c r="O11" s="62" t="n">
        <v>0.55</v>
      </c>
      <c r="P11" s="62" t="n">
        <v>0.68</v>
      </c>
      <c r="Q11" s="4" t="s">
        <v>197</v>
      </c>
    </row>
    <row r="12" customFormat="false" ht="15" hidden="false" customHeight="false" outlineLevel="0" collapsed="false">
      <c r="B12" s="4"/>
      <c r="C12" s="4"/>
      <c r="D12" s="62"/>
      <c r="E12" s="29"/>
      <c r="F12" s="37" t="str">
        <f aca="false">IF(AND(ISNUMBER(D12),ISNUMBER(E12)),D12*E12,"")</f>
        <v/>
      </c>
      <c r="G12" s="15"/>
      <c r="H12" s="37" t="str">
        <f aca="false">IF(AND(ISNUMBER(F12),ISNUMBER(G12)),F12+G12,"")</f>
        <v/>
      </c>
      <c r="I12" s="15"/>
      <c r="J12" s="15"/>
      <c r="K12" s="15"/>
      <c r="L12" s="15"/>
      <c r="M12" s="15"/>
      <c r="N12" s="15"/>
      <c r="O12" s="62"/>
      <c r="P12" s="62"/>
      <c r="Q12" s="4"/>
    </row>
    <row r="13" customFormat="false" ht="15" hidden="false" customHeight="false" outlineLevel="0" collapsed="false">
      <c r="B13" s="4"/>
      <c r="C13" s="4"/>
      <c r="D13" s="62"/>
      <c r="E13" s="29"/>
      <c r="F13" s="37" t="str">
        <f aca="false">IF(AND(ISNUMBER(D13),ISNUMBER(E13)),D13*E13,"")</f>
        <v/>
      </c>
      <c r="G13" s="15"/>
      <c r="H13" s="37" t="str">
        <f aca="false">IF(AND(ISNUMBER(F13),ISNUMBER(G13)),F13+G13,"")</f>
        <v/>
      </c>
      <c r="I13" s="15"/>
      <c r="J13" s="15"/>
      <c r="K13" s="15"/>
      <c r="L13" s="15"/>
      <c r="M13" s="15"/>
      <c r="N13" s="15"/>
      <c r="O13" s="62"/>
      <c r="P13" s="62"/>
      <c r="Q13" s="4"/>
    </row>
    <row r="15" customFormat="false" ht="15" hidden="false" customHeight="false" outlineLevel="0" collapsed="false">
      <c r="B15" s="7" t="s">
        <v>208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30" hidden="false" customHeight="true" outlineLevel="0" collapsed="false">
      <c r="B16" s="13" t="s">
        <v>181</v>
      </c>
      <c r="C16" s="14" t="s">
        <v>13</v>
      </c>
      <c r="D16" s="14" t="s">
        <v>209</v>
      </c>
      <c r="E16" s="14" t="s">
        <v>210</v>
      </c>
      <c r="F16" s="14" t="s">
        <v>211</v>
      </c>
      <c r="G16" s="14" t="s">
        <v>212</v>
      </c>
      <c r="H16" s="14" t="s">
        <v>213</v>
      </c>
      <c r="I16" s="14" t="s">
        <v>214</v>
      </c>
      <c r="J16" s="14" t="s">
        <v>215</v>
      </c>
      <c r="K16" s="14" t="s">
        <v>216</v>
      </c>
      <c r="L16" s="14" t="s">
        <v>217</v>
      </c>
    </row>
    <row r="17" customFormat="false" ht="15" hidden="false" customHeight="false" outlineLevel="0" collapsed="false">
      <c r="B17" s="5" t="str">
        <f aca="false">IF(B6="","",B6)</f>
        <v>Peer Company 1</v>
      </c>
      <c r="C17" s="5" t="str">
        <f aca="false">IF(C6="","",C6)</f>
        <v>PEER1</v>
      </c>
      <c r="D17" s="9" t="n">
        <v>1</v>
      </c>
      <c r="E17" s="50" t="n">
        <f aca="false">IFERROR($H6/I6,"")</f>
        <v>3.8</v>
      </c>
      <c r="F17" s="50" t="n">
        <f aca="false">IFERROR($H6/J6,"")</f>
        <v>3.5440414507772</v>
      </c>
      <c r="G17" s="50" t="n">
        <f aca="false">IFERROR($H6/K6,"")</f>
        <v>12.2142857142857</v>
      </c>
      <c r="H17" s="50" t="n">
        <f aca="false">IFERROR($H6/L6,"")</f>
        <v>11.2131147540984</v>
      </c>
      <c r="I17" s="50" t="n">
        <f aca="false">IFERROR($H6/M6,"")</f>
        <v>15.906976744186</v>
      </c>
      <c r="J17" s="50" t="n">
        <f aca="false">IFERROR($H6/N6,"")</f>
        <v>14.5531914893617</v>
      </c>
      <c r="K17" s="50" t="n">
        <f aca="false">IFERROR(IF(ISNUMBER($D6),$D6/O6,""),"")</f>
        <v>21.6666666666667</v>
      </c>
      <c r="L17" s="50" t="n">
        <f aca="false">IFERROR(IF(ISNUMBER($D6),$D6/P6,""),"")</f>
        <v>19.622641509434</v>
      </c>
    </row>
    <row r="18" customFormat="false" ht="15" hidden="false" customHeight="false" outlineLevel="0" collapsed="false">
      <c r="B18" s="5" t="str">
        <f aca="false">IF(B7="","",B7)</f>
        <v>Peer Company 2</v>
      </c>
      <c r="C18" s="5" t="str">
        <f aca="false">IF(C7="","",C7)</f>
        <v>PEER2</v>
      </c>
      <c r="D18" s="9" t="n">
        <v>1</v>
      </c>
      <c r="E18" s="50" t="n">
        <f aca="false">IFERROR($H7/I7,"")</f>
        <v>2.81370967741935</v>
      </c>
      <c r="F18" s="50" t="n">
        <f aca="false">IFERROR($H7/J7,"")</f>
        <v>2.64318181818182</v>
      </c>
      <c r="G18" s="50" t="n">
        <f aca="false">IFERROR($H7/K7,"")</f>
        <v>9.69166666666667</v>
      </c>
      <c r="H18" s="50" t="n">
        <f aca="false">IFERROR($H7/L7,"")</f>
        <v>8.90051020408163</v>
      </c>
      <c r="I18" s="50" t="n">
        <f aca="false">IFERROR($H7/M7,"")</f>
        <v>12.4607142857143</v>
      </c>
      <c r="J18" s="50" t="n">
        <f aca="false">IFERROR($H7/N7,"")</f>
        <v>11.4019607843137</v>
      </c>
      <c r="K18" s="50" t="n">
        <f aca="false">IFERROR(IF(ISNUMBER($D7),$D7/O7,""),"")</f>
        <v>17.3529411764706</v>
      </c>
      <c r="L18" s="50" t="n">
        <f aca="false">IFERROR(IF(ISNUMBER($D7),$D7/P7,""),"")</f>
        <v>15.8035714285714</v>
      </c>
    </row>
    <row r="19" customFormat="false" ht="15" hidden="false" customHeight="false" outlineLevel="0" collapsed="false">
      <c r="B19" s="5" t="str">
        <f aca="false">IF(B8="","",B8)</f>
        <v>Peer Company 3</v>
      </c>
      <c r="C19" s="5" t="str">
        <f aca="false">IF(C8="","",C8)</f>
        <v>PEER3</v>
      </c>
      <c r="D19" s="9" t="n">
        <v>1</v>
      </c>
      <c r="E19" s="50" t="n">
        <f aca="false">IFERROR($H8/I8,"")</f>
        <v>2.997</v>
      </c>
      <c r="F19" s="50" t="n">
        <f aca="false">IFERROR($H8/J8,"")</f>
        <v>2.775</v>
      </c>
      <c r="G19" s="50" t="n">
        <f aca="false">IFERROR($H8/K8,"")</f>
        <v>11.5269230769231</v>
      </c>
      <c r="H19" s="50" t="n">
        <f aca="false">IFERROR($H8/L8,"")</f>
        <v>10.40625</v>
      </c>
      <c r="I19" s="50" t="n">
        <f aca="false">IFERROR($H8/M8,"")</f>
        <v>15.609375</v>
      </c>
      <c r="J19" s="50" t="n">
        <f aca="false">IFERROR($H8/N8,"")</f>
        <v>13.875</v>
      </c>
      <c r="K19" s="50" t="n">
        <f aca="false">IFERROR(IF(ISNUMBER($D8),$D8/O8,""),"")</f>
        <v>22.0967741935484</v>
      </c>
      <c r="L19" s="50" t="n">
        <f aca="false">IFERROR(IF(ISNUMBER($D8),$D8/P8,""),"")</f>
        <v>19.5714285714286</v>
      </c>
    </row>
    <row r="20" customFormat="false" ht="15" hidden="false" customHeight="false" outlineLevel="0" collapsed="false">
      <c r="B20" s="5" t="str">
        <f aca="false">IF(B9="","",B9)</f>
        <v>Peer Company 4</v>
      </c>
      <c r="C20" s="5" t="str">
        <f aca="false">IF(C9="","",C9)</f>
        <v>PEER4</v>
      </c>
      <c r="D20" s="9" t="n">
        <v>1</v>
      </c>
      <c r="E20" s="50" t="n">
        <f aca="false">IFERROR($H9/I9,"")</f>
        <v>4.63333333333333</v>
      </c>
      <c r="F20" s="50" t="n">
        <f aca="false">IFERROR($H9/J9,"")</f>
        <v>4.21212121212121</v>
      </c>
      <c r="G20" s="50" t="n">
        <f aca="false">IFERROR($H9/K9,"")</f>
        <v>13.3653846153846</v>
      </c>
      <c r="H20" s="50" t="n">
        <f aca="false">IFERROR($H9/L9,"")</f>
        <v>12.0869565217391</v>
      </c>
      <c r="I20" s="50" t="n">
        <f aca="false">IFERROR($H9/M9,"")</f>
        <v>16.9512195121951</v>
      </c>
      <c r="J20" s="50" t="n">
        <f aca="false">IFERROR($H9/N9,"")</f>
        <v>15.2747252747253</v>
      </c>
      <c r="K20" s="50" t="n">
        <f aca="false">IFERROR(IF(ISNUMBER($D9),$D9/O9,""),"")</f>
        <v>23.0769230769231</v>
      </c>
      <c r="L20" s="50" t="n">
        <f aca="false">IFERROR(IF(ISNUMBER($D9),$D9/P9,""),"")</f>
        <v>20.6896551724138</v>
      </c>
    </row>
    <row r="21" customFormat="false" ht="15" hidden="false" customHeight="false" outlineLevel="0" collapsed="false">
      <c r="B21" s="5" t="str">
        <f aca="false">IF(B10="","",B10)</f>
        <v>Peer Company 5</v>
      </c>
      <c r="C21" s="5" t="str">
        <f aca="false">IF(C10="","",C10)</f>
        <v>PEER5</v>
      </c>
      <c r="D21" s="9" t="n">
        <v>1</v>
      </c>
      <c r="E21" s="50" t="n">
        <f aca="false">IFERROR($H10/I10,"")</f>
        <v>3.52840909090909</v>
      </c>
      <c r="F21" s="50" t="n">
        <f aca="false">IFERROR($H10/J10,"")</f>
        <v>3.33154506437768</v>
      </c>
      <c r="G21" s="50" t="n">
        <f aca="false">IFERROR($H10/K10,"")</f>
        <v>12.9375</v>
      </c>
      <c r="H21" s="50" t="n">
        <f aca="false">IFERROR($H10/L10,"")</f>
        <v>12.12890625</v>
      </c>
      <c r="I21" s="50" t="n">
        <f aca="false">IFERROR($H10/M10,"")</f>
        <v>17.25</v>
      </c>
      <c r="J21" s="50" t="n">
        <f aca="false">IFERROR($H10/N10,"")</f>
        <v>16.0051546391753</v>
      </c>
      <c r="K21" s="50" t="n">
        <f aca="false">IFERROR(IF(ISNUMBER($D10),$D10/O10,""),"")</f>
        <v>22.3170731707317</v>
      </c>
      <c r="L21" s="50" t="n">
        <f aca="false">IFERROR(IF(ISNUMBER($D10),$D10/P10,""),"")</f>
        <v>20.3333333333333</v>
      </c>
    </row>
    <row r="22" customFormat="false" ht="15" hidden="false" customHeight="false" outlineLevel="0" collapsed="false">
      <c r="B22" s="5" t="str">
        <f aca="false">IF(B11="","",B11)</f>
        <v>Peer Company 6</v>
      </c>
      <c r="C22" s="5" t="str">
        <f aca="false">IF(C11="","",C11)</f>
        <v>PEER6</v>
      </c>
      <c r="D22" s="9" t="n">
        <v>1</v>
      </c>
      <c r="E22" s="50" t="n">
        <f aca="false">IFERROR($H11/I11,"")</f>
        <v>2.34761904761905</v>
      </c>
      <c r="F22" s="50" t="n">
        <f aca="false">IFERROR($H11/J11,"")</f>
        <v>2.26666666666667</v>
      </c>
      <c r="G22" s="50" t="n">
        <f aca="false">IFERROR($H11/K11,"")</f>
        <v>14.0857142857143</v>
      </c>
      <c r="H22" s="50" t="n">
        <f aca="false">IFERROR($H11/L11,"")</f>
        <v>12.9736842105263</v>
      </c>
      <c r="I22" s="50" t="n">
        <f aca="false">IFERROR($H11/M11,"")</f>
        <v>25.9473684210526</v>
      </c>
      <c r="J22" s="50" t="n">
        <f aca="false">IFERROR($H11/N11,"")</f>
        <v>23.4761904761905</v>
      </c>
      <c r="K22" s="50" t="n">
        <f aca="false">IFERROR(IF(ISNUMBER($D11),$D11/O11,""),"")</f>
        <v>33.4545454545454</v>
      </c>
      <c r="L22" s="50" t="n">
        <f aca="false">IFERROR(IF(ISNUMBER($D11),$D11/P11,""),"")</f>
        <v>27.0588235294118</v>
      </c>
    </row>
    <row r="23" customFormat="false" ht="15" hidden="false" customHeight="false" outlineLevel="0" collapsed="false">
      <c r="B23" s="5" t="str">
        <f aca="false">IF(B12="","",B12)</f>
        <v/>
      </c>
      <c r="C23" s="5" t="str">
        <f aca="false">IF(C12="","",C12)</f>
        <v/>
      </c>
      <c r="D23" s="9" t="n">
        <v>1</v>
      </c>
      <c r="E23" s="50" t="str">
        <f aca="false">IFERROR($H12/I12,"")</f>
        <v/>
      </c>
      <c r="F23" s="50" t="str">
        <f aca="false">IFERROR($H12/J12,"")</f>
        <v/>
      </c>
      <c r="G23" s="50" t="str">
        <f aca="false">IFERROR($H12/K12,"")</f>
        <v/>
      </c>
      <c r="H23" s="50" t="str">
        <f aca="false">IFERROR($H12/L12,"")</f>
        <v/>
      </c>
      <c r="I23" s="50" t="str">
        <f aca="false">IFERROR($H12/M12,"")</f>
        <v/>
      </c>
      <c r="J23" s="50" t="str">
        <f aca="false">IFERROR($H12/N12,"")</f>
        <v/>
      </c>
      <c r="K23" s="50" t="str">
        <f aca="false">IFERROR(IF(ISNUMBER($D12),$D12/O12,""),"")</f>
        <v/>
      </c>
      <c r="L23" s="50" t="str">
        <f aca="false">IFERROR(IF(ISNUMBER($D12),$D12/P12,""),"")</f>
        <v/>
      </c>
    </row>
    <row r="24" customFormat="false" ht="15" hidden="false" customHeight="false" outlineLevel="0" collapsed="false">
      <c r="B24" s="5" t="str">
        <f aca="false">IF(B13="","",B13)</f>
        <v/>
      </c>
      <c r="C24" s="5" t="str">
        <f aca="false">IF(C13="","",C13)</f>
        <v/>
      </c>
      <c r="D24" s="9" t="n">
        <v>1</v>
      </c>
      <c r="E24" s="50" t="str">
        <f aca="false">IFERROR($H13/I13,"")</f>
        <v/>
      </c>
      <c r="F24" s="50" t="str">
        <f aca="false">IFERROR($H13/J13,"")</f>
        <v/>
      </c>
      <c r="G24" s="50" t="str">
        <f aca="false">IFERROR($H13/K13,"")</f>
        <v/>
      </c>
      <c r="H24" s="50" t="str">
        <f aca="false">IFERROR($H13/L13,"")</f>
        <v/>
      </c>
      <c r="I24" s="50" t="str">
        <f aca="false">IFERROR($H13/M13,"")</f>
        <v/>
      </c>
      <c r="J24" s="50" t="str">
        <f aca="false">IFERROR($H13/N13,"")</f>
        <v/>
      </c>
      <c r="K24" s="50" t="str">
        <f aca="false">IFERROR(IF(ISNUMBER($D13),$D13/O13,""),"")</f>
        <v/>
      </c>
      <c r="L24" s="50" t="str">
        <f aca="false">IFERROR(IF(ISNUMBER($D13),$D13/P13,""),"")</f>
        <v/>
      </c>
    </row>
    <row r="26" customFormat="false" ht="15" hidden="false" customHeight="false" outlineLevel="0" collapsed="false">
      <c r="B26" s="7" t="s">
        <v>218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30" hidden="false" customHeight="true" outlineLevel="0" collapsed="false">
      <c r="B27" s="13" t="s">
        <v>219</v>
      </c>
      <c r="E27" s="14" t="s">
        <v>210</v>
      </c>
      <c r="F27" s="14" t="s">
        <v>211</v>
      </c>
      <c r="G27" s="14" t="s">
        <v>212</v>
      </c>
      <c r="H27" s="14" t="s">
        <v>213</v>
      </c>
      <c r="I27" s="14" t="s">
        <v>214</v>
      </c>
      <c r="J27" s="14" t="s">
        <v>215</v>
      </c>
      <c r="K27" s="14" t="s">
        <v>216</v>
      </c>
      <c r="L27" s="14" t="s">
        <v>217</v>
      </c>
    </row>
    <row r="28" customFormat="false" ht="15" hidden="false" customHeight="false" outlineLevel="0" collapsed="false">
      <c r="B28" s="5" t="s">
        <v>220</v>
      </c>
      <c r="E28" s="50" t="n">
        <f aca="false">IF(COUNT(E$37:E$44)=0,"",AVERAGE(E$37:E$44))</f>
        <v>3.3533451915468</v>
      </c>
      <c r="F28" s="50" t="n">
        <f aca="false">IF(COUNT(F$37:F$44)=0,"",AVERAGE(F$37:F$44))</f>
        <v>3.12875936868743</v>
      </c>
      <c r="G28" s="50" t="n">
        <f aca="false">IF(COUNT(G$37:G$44)=0,"",AVERAGE(G$37:G$44))</f>
        <v>12.3035790598291</v>
      </c>
      <c r="H28" s="50" t="n">
        <f aca="false">IF(COUNT(H$37:H$44)=0,"",AVERAGE(H$37:H$44))</f>
        <v>11.2849036567409</v>
      </c>
      <c r="I28" s="50" t="n">
        <f aca="false">IF(COUNT(I$37:I$44)=0,"",AVERAGE(I$37:I$44))</f>
        <v>17.3542756605247</v>
      </c>
      <c r="J28" s="50" t="n">
        <f aca="false">IF(COUNT(J$37:J$44)=0,"",AVERAGE(J$37:J$44))</f>
        <v>15.7643704439611</v>
      </c>
      <c r="K28" s="50" t="n">
        <f aca="false">IF(COUNT(K$37:K$44)=0,"",AVERAGE(K$37:K$44))</f>
        <v>23.3274872898143</v>
      </c>
      <c r="L28" s="50" t="n">
        <f aca="false">IF(COUNT(L$37:L$44)=0,"",AVERAGE(L$37:L$44))</f>
        <v>20.5132422574321</v>
      </c>
    </row>
    <row r="29" customFormat="false" ht="15" hidden="false" customHeight="false" outlineLevel="0" collapsed="false">
      <c r="B29" s="5" t="s">
        <v>221</v>
      </c>
      <c r="E29" s="50" t="n">
        <f aca="false">IF(COUNT(E$37:E$44)=0,"",MEDIAN(E$37:E$44))</f>
        <v>3.26270454545455</v>
      </c>
      <c r="F29" s="50" t="n">
        <f aca="false">IF(COUNT(F$37:F$44)=0,"",MEDIAN(F$37:F$44))</f>
        <v>3.05327253218884</v>
      </c>
      <c r="G29" s="50" t="n">
        <f aca="false">IF(COUNT(G$37:G$44)=0,"",MEDIAN(G$37:G$44))</f>
        <v>12.5758928571429</v>
      </c>
      <c r="H29" s="50" t="n">
        <f aca="false">IF(COUNT(H$37:H$44)=0,"",MEDIAN(H$37:H$44))</f>
        <v>11.6500356379187</v>
      </c>
      <c r="I29" s="50" t="n">
        <f aca="false">IF(COUNT(I$37:I$44)=0,"",MEDIAN(I$37:I$44))</f>
        <v>16.4290981281906</v>
      </c>
      <c r="J29" s="50" t="n">
        <f aca="false">IF(COUNT(J$37:J$44)=0,"",MEDIAN(J$37:J$44))</f>
        <v>14.9139583820435</v>
      </c>
      <c r="K29" s="50" t="n">
        <f aca="false">IF(COUNT(K$37:K$44)=0,"",MEDIAN(K$37:K$44))</f>
        <v>22.2069236821401</v>
      </c>
      <c r="L29" s="50" t="n">
        <f aca="false">IF(COUNT(L$37:L$44)=0,"",MEDIAN(L$37:L$44))</f>
        <v>19.9779874213836</v>
      </c>
    </row>
    <row r="30" customFormat="false" ht="15" hidden="false" customHeight="false" outlineLevel="0" collapsed="false">
      <c r="B30" s="5" t="s">
        <v>222</v>
      </c>
      <c r="E30" s="50" t="n">
        <f aca="false">IF(COUNT(E$37:E$44)=0,"",MAX(E$37:E$44))</f>
        <v>4.63333333333333</v>
      </c>
      <c r="F30" s="50" t="n">
        <f aca="false">IF(COUNT(F$37:F$44)=0,"",MAX(F$37:F$44))</f>
        <v>4.21212121212121</v>
      </c>
      <c r="G30" s="50" t="n">
        <f aca="false">IF(COUNT(G$37:G$44)=0,"",MAX(G$37:G$44))</f>
        <v>14.0857142857143</v>
      </c>
      <c r="H30" s="50" t="n">
        <f aca="false">IF(COUNT(H$37:H$44)=0,"",MAX(H$37:H$44))</f>
        <v>12.9736842105263</v>
      </c>
      <c r="I30" s="50" t="n">
        <f aca="false">IF(COUNT(I$37:I$44)=0,"",MAX(I$37:I$44))</f>
        <v>25.9473684210526</v>
      </c>
      <c r="J30" s="50" t="n">
        <f aca="false">IF(COUNT(J$37:J$44)=0,"",MAX(J$37:J$44))</f>
        <v>23.4761904761905</v>
      </c>
      <c r="K30" s="50" t="n">
        <f aca="false">IF(COUNT(K$37:K$44)=0,"",MAX(K$37:K$44))</f>
        <v>33.4545454545454</v>
      </c>
      <c r="L30" s="50" t="n">
        <f aca="false">IF(COUNT(L$37:L$44)=0,"",MAX(L$37:L$44))</f>
        <v>27.0588235294118</v>
      </c>
    </row>
    <row r="31" customFormat="false" ht="15" hidden="false" customHeight="false" outlineLevel="0" collapsed="false">
      <c r="B31" s="5" t="s">
        <v>223</v>
      </c>
      <c r="E31" s="50" t="n">
        <f aca="false">IF(COUNT(E$37:E$44)=0,"",MIN(E$37:E$44))</f>
        <v>2.34761904761905</v>
      </c>
      <c r="F31" s="50" t="n">
        <f aca="false">IF(COUNT(F$37:F$44)=0,"",MIN(F$37:F$44))</f>
        <v>2.26666666666667</v>
      </c>
      <c r="G31" s="50" t="n">
        <f aca="false">IF(COUNT(G$37:G$44)=0,"",MIN(G$37:G$44))</f>
        <v>9.69166666666667</v>
      </c>
      <c r="H31" s="50" t="n">
        <f aca="false">IF(COUNT(H$37:H$44)=0,"",MIN(H$37:H$44))</f>
        <v>8.90051020408163</v>
      </c>
      <c r="I31" s="50" t="n">
        <f aca="false">IF(COUNT(I$37:I$44)=0,"",MIN(I$37:I$44))</f>
        <v>12.4607142857143</v>
      </c>
      <c r="J31" s="50" t="n">
        <f aca="false">IF(COUNT(J$37:J$44)=0,"",MIN(J$37:J$44))</f>
        <v>11.4019607843137</v>
      </c>
      <c r="K31" s="50" t="n">
        <f aca="false">IF(COUNT(K$37:K$44)=0,"",MIN(K$37:K$44))</f>
        <v>17.3529411764706</v>
      </c>
      <c r="L31" s="50" t="n">
        <f aca="false">IF(COUNT(L$37:L$44)=0,"",MIN(L$37:L$44))</f>
        <v>15.8035714285714</v>
      </c>
    </row>
    <row r="32" customFormat="false" ht="15" hidden="false" customHeight="false" outlineLevel="0" collapsed="false">
      <c r="B32" s="5" t="s">
        <v>224</v>
      </c>
      <c r="E32" s="50" t="n">
        <f aca="false">IF(COUNT(E$37:E$44)=0,"",PERCENTILE(E$37:E$44,0.25))</f>
        <v>2.85953225806452</v>
      </c>
      <c r="F32" s="50" t="n">
        <f aca="false">IF(COUNT(F$37:F$44)=0,"",PERCENTILE(F$37:F$44,0.25))</f>
        <v>2.67613636363636</v>
      </c>
      <c r="G32" s="50" t="n">
        <f aca="false">IF(COUNT(G$37:G$44)=0,"",PERCENTILE(G$37:G$44,0.25))</f>
        <v>11.6987637362637</v>
      </c>
      <c r="H32" s="50" t="n">
        <f aca="false">IF(COUNT(H$37:H$44)=0,"",PERCENTILE(H$37:H$44,0.25))</f>
        <v>10.6079661885246</v>
      </c>
      <c r="I32" s="50" t="n">
        <f aca="false">IF(COUNT(I$37:I$44)=0,"",PERCENTILE(I$37:I$44,0.25))</f>
        <v>15.6837754360465</v>
      </c>
      <c r="J32" s="50" t="n">
        <f aca="false">IF(COUNT(J$37:J$44)=0,"",PERCENTILE(J$37:J$44,0.25))</f>
        <v>14.0445478723404</v>
      </c>
      <c r="K32" s="50" t="n">
        <f aca="false">IF(COUNT(K$37:K$44)=0,"",PERCENTILE(K$37:K$44,0.25))</f>
        <v>21.7741935483871</v>
      </c>
      <c r="L32" s="50" t="n">
        <f aca="false">IF(COUNT(L$37:L$44)=0,"",PERCENTILE(L$37:L$44,0.25))</f>
        <v>19.5842318059299</v>
      </c>
    </row>
    <row r="33" customFormat="false" ht="15" hidden="false" customHeight="false" outlineLevel="0" collapsed="false">
      <c r="B33" s="5" t="s">
        <v>225</v>
      </c>
      <c r="E33" s="50" t="n">
        <f aca="false">IF(COUNT(E$37:E$44)=0,"",PERCENTILE(E$37:E$44,0.75))</f>
        <v>3.73210227272727</v>
      </c>
      <c r="F33" s="50" t="n">
        <f aca="false">IF(COUNT(F$37:F$44)=0,"",PERCENTILE(F$37:F$44,0.75))</f>
        <v>3.49091735417732</v>
      </c>
      <c r="G33" s="50" t="n">
        <f aca="false">IF(COUNT(G$37:G$44)=0,"",PERCENTILE(G$37:G$44,0.75))</f>
        <v>13.2584134615385</v>
      </c>
      <c r="H33" s="50" t="n">
        <f aca="false">IF(COUNT(H$37:H$44)=0,"",PERCENTILE(H$37:H$44,0.75))</f>
        <v>12.1184188179348</v>
      </c>
      <c r="I33" s="50" t="n">
        <f aca="false">IF(COUNT(I$37:I$44)=0,"",PERCENTILE(I$37:I$44,0.75))</f>
        <v>17.1753048780488</v>
      </c>
      <c r="J33" s="50" t="n">
        <f aca="false">IF(COUNT(J$37:J$44)=0,"",PERCENTILE(J$37:J$44,0.75))</f>
        <v>15.8225472980628</v>
      </c>
      <c r="K33" s="50" t="n">
        <f aca="false">IF(COUNT(K$37:K$44)=0,"",PERCENTILE(K$37:K$44,0.75))</f>
        <v>22.8869606003752</v>
      </c>
      <c r="L33" s="50" t="n">
        <f aca="false">IF(COUNT(L$37:L$44)=0,"",PERCENTILE(L$37:L$44,0.75))</f>
        <v>20.6005747126437</v>
      </c>
    </row>
    <row r="35" customFormat="false" ht="15" hidden="false" customHeight="false" outlineLevel="0" collapsed="false">
      <c r="B35" s="7" t="s">
        <v>226</v>
      </c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30" hidden="false" customHeight="true" outlineLevel="0" collapsed="false">
      <c r="B36" s="13" t="s">
        <v>181</v>
      </c>
      <c r="C36" s="14" t="s">
        <v>13</v>
      </c>
      <c r="D36" s="14" t="s">
        <v>209</v>
      </c>
      <c r="E36" s="14" t="s">
        <v>210</v>
      </c>
      <c r="F36" s="14" t="s">
        <v>211</v>
      </c>
      <c r="G36" s="14" t="s">
        <v>212</v>
      </c>
      <c r="H36" s="14" t="s">
        <v>213</v>
      </c>
      <c r="I36" s="14" t="s">
        <v>214</v>
      </c>
      <c r="J36" s="14" t="s">
        <v>215</v>
      </c>
      <c r="K36" s="14" t="s">
        <v>216</v>
      </c>
      <c r="L36" s="14" t="s">
        <v>217</v>
      </c>
    </row>
    <row r="37" customFormat="false" ht="15" hidden="false" customHeight="false" outlineLevel="0" collapsed="false">
      <c r="B37" s="5" t="str">
        <f aca="false">B17</f>
        <v>Peer Company 1</v>
      </c>
      <c r="C37" s="5" t="str">
        <f aca="false">C17</f>
        <v>PEER1</v>
      </c>
      <c r="D37" s="63" t="n">
        <f aca="false">D17</f>
        <v>1</v>
      </c>
      <c r="E37" s="50" t="n">
        <f aca="false">IF(AND($D17=1,ISNUMBER(E17)),E17,"")</f>
        <v>3.8</v>
      </c>
      <c r="F37" s="50" t="n">
        <f aca="false">IF(AND($D17=1,ISNUMBER(F17)),F17,"")</f>
        <v>3.5440414507772</v>
      </c>
      <c r="G37" s="50" t="n">
        <f aca="false">IF(AND($D17=1,ISNUMBER(G17)),G17,"")</f>
        <v>12.2142857142857</v>
      </c>
      <c r="H37" s="50" t="n">
        <f aca="false">IF(AND($D17=1,ISNUMBER(H17)),H17,"")</f>
        <v>11.2131147540984</v>
      </c>
      <c r="I37" s="50" t="n">
        <f aca="false">IF(AND($D17=1,ISNUMBER(I17)),I17,"")</f>
        <v>15.906976744186</v>
      </c>
      <c r="J37" s="50" t="n">
        <f aca="false">IF(AND($D17=1,ISNUMBER(J17)),J17,"")</f>
        <v>14.5531914893617</v>
      </c>
      <c r="K37" s="50" t="n">
        <f aca="false">IF(AND($D17=1,ISNUMBER(K17)),K17,"")</f>
        <v>21.6666666666667</v>
      </c>
      <c r="L37" s="50" t="n">
        <f aca="false">IF(AND($D17=1,ISNUMBER(L17)),L17,"")</f>
        <v>19.622641509434</v>
      </c>
    </row>
    <row r="38" customFormat="false" ht="15" hidden="false" customHeight="false" outlineLevel="0" collapsed="false">
      <c r="B38" s="5" t="str">
        <f aca="false">B18</f>
        <v>Peer Company 2</v>
      </c>
      <c r="C38" s="5" t="str">
        <f aca="false">C18</f>
        <v>PEER2</v>
      </c>
      <c r="D38" s="63" t="n">
        <f aca="false">D18</f>
        <v>1</v>
      </c>
      <c r="E38" s="50" t="n">
        <f aca="false">IF(AND($D18=1,ISNUMBER(E18)),E18,"")</f>
        <v>2.81370967741935</v>
      </c>
      <c r="F38" s="50" t="n">
        <f aca="false">IF(AND($D18=1,ISNUMBER(F18)),F18,"")</f>
        <v>2.64318181818182</v>
      </c>
      <c r="G38" s="50" t="n">
        <f aca="false">IF(AND($D18=1,ISNUMBER(G18)),G18,"")</f>
        <v>9.69166666666667</v>
      </c>
      <c r="H38" s="50" t="n">
        <f aca="false">IF(AND($D18=1,ISNUMBER(H18)),H18,"")</f>
        <v>8.90051020408163</v>
      </c>
      <c r="I38" s="50" t="n">
        <f aca="false">IF(AND($D18=1,ISNUMBER(I18)),I18,"")</f>
        <v>12.4607142857143</v>
      </c>
      <c r="J38" s="50" t="n">
        <f aca="false">IF(AND($D18=1,ISNUMBER(J18)),J18,"")</f>
        <v>11.4019607843137</v>
      </c>
      <c r="K38" s="50" t="n">
        <f aca="false">IF(AND($D18=1,ISNUMBER(K18)),K18,"")</f>
        <v>17.3529411764706</v>
      </c>
      <c r="L38" s="50" t="n">
        <f aca="false">IF(AND($D18=1,ISNUMBER(L18)),L18,"")</f>
        <v>15.8035714285714</v>
      </c>
    </row>
    <row r="39" customFormat="false" ht="15" hidden="false" customHeight="false" outlineLevel="0" collapsed="false">
      <c r="B39" s="5" t="str">
        <f aca="false">B19</f>
        <v>Peer Company 3</v>
      </c>
      <c r="C39" s="5" t="str">
        <f aca="false">C19</f>
        <v>PEER3</v>
      </c>
      <c r="D39" s="63" t="n">
        <f aca="false">D19</f>
        <v>1</v>
      </c>
      <c r="E39" s="50" t="n">
        <f aca="false">IF(AND($D19=1,ISNUMBER(E19)),E19,"")</f>
        <v>2.997</v>
      </c>
      <c r="F39" s="50" t="n">
        <f aca="false">IF(AND($D19=1,ISNUMBER(F19)),F19,"")</f>
        <v>2.775</v>
      </c>
      <c r="G39" s="50" t="n">
        <f aca="false">IF(AND($D19=1,ISNUMBER(G19)),G19,"")</f>
        <v>11.5269230769231</v>
      </c>
      <c r="H39" s="50" t="n">
        <f aca="false">IF(AND($D19=1,ISNUMBER(H19)),H19,"")</f>
        <v>10.40625</v>
      </c>
      <c r="I39" s="50" t="n">
        <f aca="false">IF(AND($D19=1,ISNUMBER(I19)),I19,"")</f>
        <v>15.609375</v>
      </c>
      <c r="J39" s="50" t="n">
        <f aca="false">IF(AND($D19=1,ISNUMBER(J19)),J19,"")</f>
        <v>13.875</v>
      </c>
      <c r="K39" s="50" t="n">
        <f aca="false">IF(AND($D19=1,ISNUMBER(K19)),K19,"")</f>
        <v>22.0967741935484</v>
      </c>
      <c r="L39" s="50" t="n">
        <f aca="false">IF(AND($D19=1,ISNUMBER(L19)),L19,"")</f>
        <v>19.5714285714286</v>
      </c>
    </row>
    <row r="40" customFormat="false" ht="15" hidden="false" customHeight="false" outlineLevel="0" collapsed="false">
      <c r="B40" s="5" t="str">
        <f aca="false">B20</f>
        <v>Peer Company 4</v>
      </c>
      <c r="C40" s="5" t="str">
        <f aca="false">C20</f>
        <v>PEER4</v>
      </c>
      <c r="D40" s="63" t="n">
        <f aca="false">D20</f>
        <v>1</v>
      </c>
      <c r="E40" s="50" t="n">
        <f aca="false">IF(AND($D20=1,ISNUMBER(E20)),E20,"")</f>
        <v>4.63333333333333</v>
      </c>
      <c r="F40" s="50" t="n">
        <f aca="false">IF(AND($D20=1,ISNUMBER(F20)),F20,"")</f>
        <v>4.21212121212121</v>
      </c>
      <c r="G40" s="50" t="n">
        <f aca="false">IF(AND($D20=1,ISNUMBER(G20)),G20,"")</f>
        <v>13.3653846153846</v>
      </c>
      <c r="H40" s="50" t="n">
        <f aca="false">IF(AND($D20=1,ISNUMBER(H20)),H20,"")</f>
        <v>12.0869565217391</v>
      </c>
      <c r="I40" s="50" t="n">
        <f aca="false">IF(AND($D20=1,ISNUMBER(I20)),I20,"")</f>
        <v>16.9512195121951</v>
      </c>
      <c r="J40" s="50" t="n">
        <f aca="false">IF(AND($D20=1,ISNUMBER(J20)),J20,"")</f>
        <v>15.2747252747253</v>
      </c>
      <c r="K40" s="50" t="n">
        <f aca="false">IF(AND($D20=1,ISNUMBER(K20)),K20,"")</f>
        <v>23.0769230769231</v>
      </c>
      <c r="L40" s="50" t="n">
        <f aca="false">IF(AND($D20=1,ISNUMBER(L20)),L20,"")</f>
        <v>20.6896551724138</v>
      </c>
    </row>
    <row r="41" customFormat="false" ht="15" hidden="false" customHeight="false" outlineLevel="0" collapsed="false">
      <c r="B41" s="5" t="str">
        <f aca="false">B21</f>
        <v>Peer Company 5</v>
      </c>
      <c r="C41" s="5" t="str">
        <f aca="false">C21</f>
        <v>PEER5</v>
      </c>
      <c r="D41" s="63" t="n">
        <f aca="false">D21</f>
        <v>1</v>
      </c>
      <c r="E41" s="50" t="n">
        <f aca="false">IF(AND($D21=1,ISNUMBER(E21)),E21,"")</f>
        <v>3.52840909090909</v>
      </c>
      <c r="F41" s="50" t="n">
        <f aca="false">IF(AND($D21=1,ISNUMBER(F21)),F21,"")</f>
        <v>3.33154506437768</v>
      </c>
      <c r="G41" s="50" t="n">
        <f aca="false">IF(AND($D21=1,ISNUMBER(G21)),G21,"")</f>
        <v>12.9375</v>
      </c>
      <c r="H41" s="50" t="n">
        <f aca="false">IF(AND($D21=1,ISNUMBER(H21)),H21,"")</f>
        <v>12.12890625</v>
      </c>
      <c r="I41" s="50" t="n">
        <f aca="false">IF(AND($D21=1,ISNUMBER(I21)),I21,"")</f>
        <v>17.25</v>
      </c>
      <c r="J41" s="50" t="n">
        <f aca="false">IF(AND($D21=1,ISNUMBER(J21)),J21,"")</f>
        <v>16.0051546391753</v>
      </c>
      <c r="K41" s="50" t="n">
        <f aca="false">IF(AND($D21=1,ISNUMBER(K21)),K21,"")</f>
        <v>22.3170731707317</v>
      </c>
      <c r="L41" s="50" t="n">
        <f aca="false">IF(AND($D21=1,ISNUMBER(L21)),L21,"")</f>
        <v>20.3333333333333</v>
      </c>
    </row>
    <row r="42" customFormat="false" ht="15" hidden="false" customHeight="false" outlineLevel="0" collapsed="false">
      <c r="B42" s="5" t="str">
        <f aca="false">B22</f>
        <v>Peer Company 6</v>
      </c>
      <c r="C42" s="5" t="str">
        <f aca="false">C22</f>
        <v>PEER6</v>
      </c>
      <c r="D42" s="63" t="n">
        <f aca="false">D22</f>
        <v>1</v>
      </c>
      <c r="E42" s="50" t="n">
        <f aca="false">IF(AND($D22=1,ISNUMBER(E22)),E22,"")</f>
        <v>2.34761904761905</v>
      </c>
      <c r="F42" s="50" t="n">
        <f aca="false">IF(AND($D22=1,ISNUMBER(F22)),F22,"")</f>
        <v>2.26666666666667</v>
      </c>
      <c r="G42" s="50" t="n">
        <f aca="false">IF(AND($D22=1,ISNUMBER(G22)),G22,"")</f>
        <v>14.0857142857143</v>
      </c>
      <c r="H42" s="50" t="n">
        <f aca="false">IF(AND($D22=1,ISNUMBER(H22)),H22,"")</f>
        <v>12.9736842105263</v>
      </c>
      <c r="I42" s="50" t="n">
        <f aca="false">IF(AND($D22=1,ISNUMBER(I22)),I22,"")</f>
        <v>25.9473684210526</v>
      </c>
      <c r="J42" s="50" t="n">
        <f aca="false">IF(AND($D22=1,ISNUMBER(J22)),J22,"")</f>
        <v>23.4761904761905</v>
      </c>
      <c r="K42" s="50" t="n">
        <f aca="false">IF(AND($D22=1,ISNUMBER(K22)),K22,"")</f>
        <v>33.4545454545454</v>
      </c>
      <c r="L42" s="50" t="n">
        <f aca="false">IF(AND($D22=1,ISNUMBER(L22)),L22,"")</f>
        <v>27.0588235294118</v>
      </c>
    </row>
    <row r="43" customFormat="false" ht="15" hidden="false" customHeight="false" outlineLevel="0" collapsed="false">
      <c r="B43" s="5" t="str">
        <f aca="false">B23</f>
        <v/>
      </c>
      <c r="C43" s="5" t="str">
        <f aca="false">C23</f>
        <v/>
      </c>
      <c r="D43" s="63" t="n">
        <f aca="false">D23</f>
        <v>1</v>
      </c>
      <c r="E43" s="50" t="str">
        <f aca="false">IF(AND($D23=1,ISNUMBER(E23)),E23,"")</f>
        <v/>
      </c>
      <c r="F43" s="50" t="str">
        <f aca="false">IF(AND($D23=1,ISNUMBER(F23)),F23,"")</f>
        <v/>
      </c>
      <c r="G43" s="50" t="str">
        <f aca="false">IF(AND($D23=1,ISNUMBER(G23)),G23,"")</f>
        <v/>
      </c>
      <c r="H43" s="50" t="str">
        <f aca="false">IF(AND($D23=1,ISNUMBER(H23)),H23,"")</f>
        <v/>
      </c>
      <c r="I43" s="50" t="str">
        <f aca="false">IF(AND($D23=1,ISNUMBER(I23)),I23,"")</f>
        <v/>
      </c>
      <c r="J43" s="50" t="str">
        <f aca="false">IF(AND($D23=1,ISNUMBER(J23)),J23,"")</f>
        <v/>
      </c>
      <c r="K43" s="50" t="str">
        <f aca="false">IF(AND($D23=1,ISNUMBER(K23)),K23,"")</f>
        <v/>
      </c>
      <c r="L43" s="50" t="str">
        <f aca="false">IF(AND($D23=1,ISNUMBER(L23)),L23,"")</f>
        <v/>
      </c>
    </row>
    <row r="44" customFormat="false" ht="15" hidden="false" customHeight="false" outlineLevel="0" collapsed="false">
      <c r="B44" s="5" t="str">
        <f aca="false">B24</f>
        <v/>
      </c>
      <c r="C44" s="5" t="str">
        <f aca="false">C24</f>
        <v/>
      </c>
      <c r="D44" s="63" t="n">
        <f aca="false">D24</f>
        <v>1</v>
      </c>
      <c r="E44" s="50" t="str">
        <f aca="false">IF(AND($D24=1,ISNUMBER(E24)),E24,"")</f>
        <v/>
      </c>
      <c r="F44" s="50" t="str">
        <f aca="false">IF(AND($D24=1,ISNUMBER(F24)),F24,"")</f>
        <v/>
      </c>
      <c r="G44" s="50" t="str">
        <f aca="false">IF(AND($D24=1,ISNUMBER(G24)),G24,"")</f>
        <v/>
      </c>
      <c r="H44" s="50" t="str">
        <f aca="false">IF(AND($D24=1,ISNUMBER(H24)),H24,"")</f>
        <v/>
      </c>
      <c r="I44" s="50" t="str">
        <f aca="false">IF(AND($D24=1,ISNUMBER(I24)),I24,"")</f>
        <v/>
      </c>
      <c r="J44" s="50" t="str">
        <f aca="false">IF(AND($D24=1,ISNUMBER(J24)),J24,"")</f>
        <v/>
      </c>
      <c r="K44" s="50" t="str">
        <f aca="false">IF(AND($D24=1,ISNUMBER(K24)),K24,"")</f>
        <v/>
      </c>
      <c r="L44" s="50" t="str">
        <f aca="false">IF(AND($D24=1,ISNUMBER(L24)),L24,"")</f>
        <v/>
      </c>
    </row>
    <row r="46" customFormat="false" ht="15" hidden="false" customHeight="false" outlineLevel="0" collapsed="false">
      <c r="B46" s="7" t="s">
        <v>227</v>
      </c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30" hidden="false" customHeight="true" outlineLevel="0" collapsed="false">
      <c r="B47" s="13" t="s">
        <v>228</v>
      </c>
      <c r="C47" s="64" t="str">
        <f aca="false">"LTM ("&amp;Segment_Revenue!C$4&amp;")"</f>
        <v>LTM (FY2025A)</v>
      </c>
      <c r="D47" s="64" t="str">
        <f aca="false">"NTM ("&amp;Segment_Revenue!D$4&amp;")"</f>
        <v>NTM (FY2026E)</v>
      </c>
    </row>
    <row r="48" customFormat="false" ht="15" hidden="false" customHeight="false" outlineLevel="0" collapsed="false">
      <c r="B48" s="5" t="s">
        <v>229</v>
      </c>
      <c r="C48" s="36" t="n">
        <f aca="false">Segment_Revenue!C32</f>
        <v>2000</v>
      </c>
      <c r="D48" s="36" t="n">
        <f aca="false">Segment_Revenue!D32</f>
        <v>2141.5</v>
      </c>
    </row>
    <row r="49" customFormat="false" ht="15" hidden="false" customHeight="false" outlineLevel="0" collapsed="false">
      <c r="B49" s="5" t="s">
        <v>230</v>
      </c>
      <c r="C49" s="37" t="n">
        <f aca="false">Segment_Revenue!C34+Segment_Revenue!C32*Assumptions!$C$77</f>
        <v>541</v>
      </c>
      <c r="D49" s="37" t="n">
        <f aca="false">DCF!D8+DCF!D10</f>
        <v>581.6525</v>
      </c>
    </row>
    <row r="50" customFormat="false" ht="15" hidden="false" customHeight="false" outlineLevel="0" collapsed="false">
      <c r="B50" s="5" t="s">
        <v>231</v>
      </c>
      <c r="C50" s="36" t="n">
        <f aca="false">Segment_Revenue!C34</f>
        <v>471</v>
      </c>
      <c r="D50" s="36" t="n">
        <f aca="false">Segment_Revenue!D34</f>
        <v>506.7</v>
      </c>
    </row>
    <row r="51" customFormat="false" ht="15" hidden="false" customHeight="false" outlineLevel="0" collapsed="false">
      <c r="B51" s="5" t="s">
        <v>232</v>
      </c>
      <c r="C51" s="56" t="n">
        <f aca="false">IF(DCF!$C$37=0,"",(C50-Assumptions!$C$74*Assumptions!$C$72)*(1-Assumptions!$C$14)/DCF!$C$37)</f>
        <v>2.055</v>
      </c>
      <c r="D51" s="56" t="n">
        <f aca="false">IF(DCF!$C$37=0,"",(D50-Assumptions!$C$74*Assumptions!$C$72)*(1-Assumptions!$C$14)/DCF!$C$37)</f>
        <v>2.2335</v>
      </c>
    </row>
    <row r="53" customFormat="false" ht="15" hidden="false" customHeight="false" outlineLevel="0" collapsed="false">
      <c r="B53" s="7" t="s">
        <v>233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30" hidden="false" customHeight="true" outlineLevel="0" collapsed="false">
      <c r="B54" s="13" t="s">
        <v>234</v>
      </c>
      <c r="C54" s="14" t="s">
        <v>235</v>
      </c>
      <c r="D54" s="14" t="s">
        <v>224</v>
      </c>
      <c r="E54" s="14" t="s">
        <v>221</v>
      </c>
      <c r="F54" s="14" t="s">
        <v>225</v>
      </c>
    </row>
    <row r="55" customFormat="false" ht="15" hidden="false" customHeight="false" outlineLevel="0" collapsed="false">
      <c r="B55" s="5" t="s">
        <v>210</v>
      </c>
      <c r="C55" s="37" t="n">
        <f aca="false">C48</f>
        <v>2000</v>
      </c>
      <c r="D55" s="50" t="n">
        <f aca="false">E32</f>
        <v>2.85953225806452</v>
      </c>
      <c r="E55" s="50" t="n">
        <f aca="false">E29</f>
        <v>3.26270454545455</v>
      </c>
      <c r="F55" s="50" t="n">
        <f aca="false">E33</f>
        <v>3.73210227272727</v>
      </c>
    </row>
    <row r="56" customFormat="false" ht="15" hidden="false" customHeight="false" outlineLevel="0" collapsed="false">
      <c r="B56" s="5" t="s">
        <v>211</v>
      </c>
      <c r="C56" s="37" t="n">
        <f aca="false">D48</f>
        <v>2141.5</v>
      </c>
      <c r="D56" s="50" t="n">
        <f aca="false">F32</f>
        <v>2.67613636363636</v>
      </c>
      <c r="E56" s="50" t="n">
        <f aca="false">F29</f>
        <v>3.05327253218884</v>
      </c>
      <c r="F56" s="50" t="n">
        <f aca="false">F33</f>
        <v>3.49091735417732</v>
      </c>
    </row>
    <row r="57" customFormat="false" ht="15" hidden="false" customHeight="false" outlineLevel="0" collapsed="false">
      <c r="B57" s="5" t="s">
        <v>212</v>
      </c>
      <c r="C57" s="37" t="n">
        <f aca="false">C49</f>
        <v>541</v>
      </c>
      <c r="D57" s="50" t="n">
        <f aca="false">G32</f>
        <v>11.6987637362637</v>
      </c>
      <c r="E57" s="50" t="n">
        <f aca="false">G29</f>
        <v>12.5758928571429</v>
      </c>
      <c r="F57" s="50" t="n">
        <f aca="false">G33</f>
        <v>13.2584134615385</v>
      </c>
    </row>
    <row r="58" customFormat="false" ht="15" hidden="false" customHeight="false" outlineLevel="0" collapsed="false">
      <c r="B58" s="5" t="s">
        <v>213</v>
      </c>
      <c r="C58" s="37" t="n">
        <f aca="false">D49</f>
        <v>581.6525</v>
      </c>
      <c r="D58" s="50" t="n">
        <f aca="false">H32</f>
        <v>10.6079661885246</v>
      </c>
      <c r="E58" s="50" t="n">
        <f aca="false">H29</f>
        <v>11.6500356379187</v>
      </c>
      <c r="F58" s="50" t="n">
        <f aca="false">H33</f>
        <v>12.1184188179348</v>
      </c>
    </row>
    <row r="59" customFormat="false" ht="15" hidden="false" customHeight="false" outlineLevel="0" collapsed="false">
      <c r="B59" s="5" t="s">
        <v>214</v>
      </c>
      <c r="C59" s="37" t="n">
        <f aca="false">C50</f>
        <v>471</v>
      </c>
      <c r="D59" s="50" t="n">
        <f aca="false">I32</f>
        <v>15.6837754360465</v>
      </c>
      <c r="E59" s="50" t="n">
        <f aca="false">I29</f>
        <v>16.4290981281906</v>
      </c>
      <c r="F59" s="50" t="n">
        <f aca="false">I33</f>
        <v>17.1753048780488</v>
      </c>
    </row>
    <row r="60" customFormat="false" ht="15" hidden="false" customHeight="false" outlineLevel="0" collapsed="false">
      <c r="B60" s="5" t="s">
        <v>215</v>
      </c>
      <c r="C60" s="37" t="n">
        <f aca="false">D50</f>
        <v>506.7</v>
      </c>
      <c r="D60" s="50" t="n">
        <f aca="false">J32</f>
        <v>14.0445478723404</v>
      </c>
      <c r="E60" s="50" t="n">
        <f aca="false">J29</f>
        <v>14.9139583820435</v>
      </c>
      <c r="F60" s="50" t="n">
        <f aca="false">J33</f>
        <v>15.8225472980628</v>
      </c>
    </row>
    <row r="61" customFormat="false" ht="15" hidden="false" customHeight="false" outlineLevel="0" collapsed="false">
      <c r="B61" s="5" t="s">
        <v>216</v>
      </c>
      <c r="C61" s="56" t="n">
        <f aca="false">C51</f>
        <v>2.055</v>
      </c>
      <c r="D61" s="50" t="n">
        <f aca="false">K32</f>
        <v>21.7741935483871</v>
      </c>
      <c r="E61" s="50" t="n">
        <f aca="false">K29</f>
        <v>22.2069236821401</v>
      </c>
      <c r="F61" s="50" t="n">
        <f aca="false">K33</f>
        <v>22.8869606003752</v>
      </c>
    </row>
    <row r="62" customFormat="false" ht="15" hidden="false" customHeight="false" outlineLevel="0" collapsed="false">
      <c r="B62" s="5" t="s">
        <v>217</v>
      </c>
      <c r="C62" s="56" t="n">
        <f aca="false">D51</f>
        <v>2.2335</v>
      </c>
      <c r="D62" s="50" t="n">
        <f aca="false">L32</f>
        <v>19.5842318059299</v>
      </c>
      <c r="E62" s="50" t="n">
        <f aca="false">L29</f>
        <v>19.9779874213836</v>
      </c>
      <c r="F62" s="50" t="n">
        <f aca="false">L33</f>
        <v>20.6005747126437</v>
      </c>
    </row>
    <row r="64" customFormat="false" ht="30" hidden="false" customHeight="true" outlineLevel="0" collapsed="false">
      <c r="B64" s="13" t="s">
        <v>236</v>
      </c>
      <c r="D64" s="14" t="s">
        <v>224</v>
      </c>
      <c r="E64" s="14" t="s">
        <v>221</v>
      </c>
      <c r="F64" s="14" t="s">
        <v>225</v>
      </c>
    </row>
    <row r="65" customFormat="false" ht="15" hidden="false" customHeight="false" outlineLevel="0" collapsed="false">
      <c r="B65" s="5" t="s">
        <v>210</v>
      </c>
      <c r="D65" s="37" t="n">
        <f aca="false">IFERROR($C55*D55,"")</f>
        <v>5719.06451612903</v>
      </c>
      <c r="E65" s="37" t="n">
        <f aca="false">IFERROR($C55*E55,"")</f>
        <v>6525.40909090909</v>
      </c>
      <c r="F65" s="37" t="n">
        <f aca="false">IFERROR($C55*F55,"")</f>
        <v>7464.20454545455</v>
      </c>
    </row>
    <row r="66" customFormat="false" ht="15" hidden="false" customHeight="false" outlineLevel="0" collapsed="false">
      <c r="B66" s="5" t="s">
        <v>211</v>
      </c>
      <c r="D66" s="37" t="n">
        <f aca="false">IFERROR($C56*D56,"")</f>
        <v>5730.94602272727</v>
      </c>
      <c r="E66" s="37" t="n">
        <f aca="false">IFERROR($C56*E56,"")</f>
        <v>6538.5831276824</v>
      </c>
      <c r="F66" s="37" t="n">
        <f aca="false">IFERROR($C56*F56,"")</f>
        <v>7475.79951397074</v>
      </c>
    </row>
    <row r="67" customFormat="false" ht="15" hidden="false" customHeight="false" outlineLevel="0" collapsed="false">
      <c r="B67" s="5" t="s">
        <v>212</v>
      </c>
      <c r="D67" s="37" t="n">
        <f aca="false">IFERROR($C57*D57,"")</f>
        <v>6329.03118131868</v>
      </c>
      <c r="E67" s="37" t="n">
        <f aca="false">IFERROR($C57*E57,"")</f>
        <v>6803.55803571429</v>
      </c>
      <c r="F67" s="37" t="n">
        <f aca="false">IFERROR($C57*F57,"")</f>
        <v>7172.80168269231</v>
      </c>
    </row>
    <row r="68" customFormat="false" ht="15" hidden="false" customHeight="false" outlineLevel="0" collapsed="false">
      <c r="B68" s="5" t="s">
        <v>213</v>
      </c>
      <c r="D68" s="37" t="n">
        <f aca="false">IFERROR($C58*D58,"")</f>
        <v>6170.1500534708</v>
      </c>
      <c r="E68" s="37" t="n">
        <f aca="false">IFERROR($C58*E58,"")</f>
        <v>6776.27235388453</v>
      </c>
      <c r="F68" s="37" t="n">
        <f aca="false">IFERROR($C58*F58,"")</f>
        <v>7048.70860149881</v>
      </c>
    </row>
    <row r="69" customFormat="false" ht="15" hidden="false" customHeight="false" outlineLevel="0" collapsed="false">
      <c r="B69" s="5" t="s">
        <v>214</v>
      </c>
      <c r="D69" s="37" t="n">
        <f aca="false">IFERROR($C59*D59,"")</f>
        <v>7387.05823037791</v>
      </c>
      <c r="E69" s="37" t="n">
        <f aca="false">IFERROR($C59*E59,"")</f>
        <v>7738.10521837777</v>
      </c>
      <c r="F69" s="37" t="n">
        <f aca="false">IFERROR($C59*F59,"")</f>
        <v>8089.56859756098</v>
      </c>
    </row>
    <row r="70" customFormat="false" ht="15" hidden="false" customHeight="false" outlineLevel="0" collapsed="false">
      <c r="B70" s="5" t="s">
        <v>215</v>
      </c>
      <c r="D70" s="37" t="n">
        <f aca="false">IFERROR($C60*D60,"")</f>
        <v>7116.37240691489</v>
      </c>
      <c r="E70" s="37" t="n">
        <f aca="false">IFERROR($C60*E60,"")</f>
        <v>7556.90271218144</v>
      </c>
      <c r="F70" s="37" t="n">
        <f aca="false">IFERROR($C60*F60,"")</f>
        <v>8017.2847159284</v>
      </c>
    </row>
    <row r="72" customFormat="false" ht="30" hidden="false" customHeight="true" outlineLevel="0" collapsed="false">
      <c r="B72" s="13" t="s">
        <v>237</v>
      </c>
      <c r="D72" s="14" t="s">
        <v>224</v>
      </c>
      <c r="E72" s="14" t="s">
        <v>221</v>
      </c>
      <c r="F72" s="14" t="s">
        <v>225</v>
      </c>
    </row>
    <row r="73" customFormat="false" ht="15" hidden="false" customHeight="false" outlineLevel="0" collapsed="false">
      <c r="B73" s="5" t="s">
        <v>210</v>
      </c>
      <c r="D73" s="37" t="n">
        <f aca="false">IFERROR(D65+DCF!$C$35,"")</f>
        <v>4919.06451612903</v>
      </c>
      <c r="E73" s="37" t="n">
        <f aca="false">IFERROR(E65+DCF!$C$35,"")</f>
        <v>5725.40909090909</v>
      </c>
      <c r="F73" s="37" t="n">
        <f aca="false">IFERROR(F65+DCF!$C$35,"")</f>
        <v>6664.20454545455</v>
      </c>
    </row>
    <row r="74" customFormat="false" ht="15" hidden="false" customHeight="false" outlineLevel="0" collapsed="false">
      <c r="B74" s="5" t="s">
        <v>211</v>
      </c>
      <c r="D74" s="37" t="n">
        <f aca="false">IFERROR(D66+DCF!$C$35,"")</f>
        <v>4930.94602272727</v>
      </c>
      <c r="E74" s="37" t="n">
        <f aca="false">IFERROR(E66+DCF!$C$35,"")</f>
        <v>5738.5831276824</v>
      </c>
      <c r="F74" s="37" t="n">
        <f aca="false">IFERROR(F66+DCF!$C$35,"")</f>
        <v>6675.79951397074</v>
      </c>
    </row>
    <row r="75" customFormat="false" ht="15" hidden="false" customHeight="false" outlineLevel="0" collapsed="false">
      <c r="B75" s="5" t="s">
        <v>212</v>
      </c>
      <c r="D75" s="37" t="n">
        <f aca="false">IFERROR(D67+DCF!$C$35,"")</f>
        <v>5529.03118131868</v>
      </c>
      <c r="E75" s="37" t="n">
        <f aca="false">IFERROR(E67+DCF!$C$35,"")</f>
        <v>6003.55803571429</v>
      </c>
      <c r="F75" s="37" t="n">
        <f aca="false">IFERROR(F67+DCF!$C$35,"")</f>
        <v>6372.80168269231</v>
      </c>
    </row>
    <row r="76" customFormat="false" ht="15" hidden="false" customHeight="false" outlineLevel="0" collapsed="false">
      <c r="B76" s="5" t="s">
        <v>213</v>
      </c>
      <c r="D76" s="37" t="n">
        <f aca="false">IFERROR(D68+DCF!$C$35,"")</f>
        <v>5370.1500534708</v>
      </c>
      <c r="E76" s="37" t="n">
        <f aca="false">IFERROR(E68+DCF!$C$35,"")</f>
        <v>5976.27235388453</v>
      </c>
      <c r="F76" s="37" t="n">
        <f aca="false">IFERROR(F68+DCF!$C$35,"")</f>
        <v>6248.70860149881</v>
      </c>
    </row>
    <row r="77" customFormat="false" ht="15" hidden="false" customHeight="false" outlineLevel="0" collapsed="false">
      <c r="B77" s="5" t="s">
        <v>214</v>
      </c>
      <c r="D77" s="37" t="n">
        <f aca="false">IFERROR(D69+DCF!$C$35,"")</f>
        <v>6587.05823037791</v>
      </c>
      <c r="E77" s="37" t="n">
        <f aca="false">IFERROR(E69+DCF!$C$35,"")</f>
        <v>6938.10521837777</v>
      </c>
      <c r="F77" s="37" t="n">
        <f aca="false">IFERROR(F69+DCF!$C$35,"")</f>
        <v>7289.56859756098</v>
      </c>
    </row>
    <row r="78" customFormat="false" ht="15" hidden="false" customHeight="false" outlineLevel="0" collapsed="false">
      <c r="B78" s="5" t="s">
        <v>215</v>
      </c>
      <c r="D78" s="37" t="n">
        <f aca="false">IFERROR(D70+DCF!$C$35,"")</f>
        <v>6316.37240691489</v>
      </c>
      <c r="E78" s="37" t="n">
        <f aca="false">IFERROR(E70+DCF!$C$35,"")</f>
        <v>6756.90271218144</v>
      </c>
      <c r="F78" s="37" t="n">
        <f aca="false">IFERROR(F70+DCF!$C$35,"")</f>
        <v>7217.2847159284</v>
      </c>
    </row>
    <row r="80" customFormat="false" ht="15" hidden="false" customHeight="false" outlineLevel="0" collapsed="false">
      <c r="B80" s="7" t="s">
        <v>152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customFormat="false" ht="30" hidden="false" customHeight="true" outlineLevel="0" collapsed="false">
      <c r="B81" s="13" t="s">
        <v>238</v>
      </c>
      <c r="D81" s="14" t="s">
        <v>239</v>
      </c>
      <c r="E81" s="14" t="s">
        <v>221</v>
      </c>
      <c r="F81" s="14" t="s">
        <v>240</v>
      </c>
    </row>
    <row r="82" customFormat="false" ht="15" hidden="false" customHeight="false" outlineLevel="0" collapsed="false">
      <c r="B82" s="5" t="s">
        <v>210</v>
      </c>
      <c r="D82" s="56" t="n">
        <f aca="false">IFERROR(D73/DCF!$C$37,"")</f>
        <v>32.7937634408602</v>
      </c>
      <c r="E82" s="56" t="n">
        <f aca="false">IFERROR(E73/DCF!$C$37,"")</f>
        <v>38.1693939393939</v>
      </c>
      <c r="F82" s="56" t="n">
        <f aca="false">IFERROR(F73/DCF!$C$37,"")</f>
        <v>44.4280303030303</v>
      </c>
    </row>
    <row r="83" customFormat="false" ht="15" hidden="false" customHeight="false" outlineLevel="0" collapsed="false">
      <c r="B83" s="5" t="s">
        <v>211</v>
      </c>
      <c r="D83" s="56" t="n">
        <f aca="false">IFERROR(D74/DCF!$C$37,"")</f>
        <v>32.8729734848485</v>
      </c>
      <c r="E83" s="56" t="n">
        <f aca="false">IFERROR(E74/DCF!$C$37,"")</f>
        <v>38.257220851216</v>
      </c>
      <c r="F83" s="56" t="n">
        <f aca="false">IFERROR(F74/DCF!$C$37,"")</f>
        <v>44.5053300931382</v>
      </c>
    </row>
    <row r="84" customFormat="false" ht="15" hidden="false" customHeight="false" outlineLevel="0" collapsed="false">
      <c r="B84" s="5" t="s">
        <v>212</v>
      </c>
      <c r="D84" s="56" t="n">
        <f aca="false">IFERROR(D75/DCF!$C$37,"")</f>
        <v>36.8602078754579</v>
      </c>
      <c r="E84" s="56" t="n">
        <f aca="false">IFERROR(E75/DCF!$C$37,"")</f>
        <v>40.0237202380952</v>
      </c>
      <c r="F84" s="56" t="n">
        <f aca="false">IFERROR(F75/DCF!$C$37,"")</f>
        <v>42.4853445512821</v>
      </c>
    </row>
    <row r="85" customFormat="false" ht="15" hidden="false" customHeight="false" outlineLevel="0" collapsed="false">
      <c r="B85" s="5" t="s">
        <v>213</v>
      </c>
      <c r="D85" s="56" t="n">
        <f aca="false">IFERROR(D76/DCF!$C$37,"")</f>
        <v>35.801000356472</v>
      </c>
      <c r="E85" s="56" t="n">
        <f aca="false">IFERROR(E76/DCF!$C$37,"")</f>
        <v>39.8418156925636</v>
      </c>
      <c r="F85" s="56" t="n">
        <f aca="false">IFERROR(F76/DCF!$C$37,"")</f>
        <v>41.6580573433254</v>
      </c>
    </row>
    <row r="86" customFormat="false" ht="15" hidden="false" customHeight="false" outlineLevel="0" collapsed="false">
      <c r="B86" s="5" t="s">
        <v>214</v>
      </c>
      <c r="D86" s="56" t="n">
        <f aca="false">IFERROR(D77/DCF!$C$37,"")</f>
        <v>43.9137215358527</v>
      </c>
      <c r="E86" s="56" t="n">
        <f aca="false">IFERROR(E77/DCF!$C$37,"")</f>
        <v>46.2540347891851</v>
      </c>
      <c r="F86" s="56" t="n">
        <f aca="false">IFERROR(F77/DCF!$C$37,"")</f>
        <v>48.5971239837398</v>
      </c>
    </row>
    <row r="87" customFormat="false" ht="15" hidden="false" customHeight="false" outlineLevel="0" collapsed="false">
      <c r="B87" s="5" t="s">
        <v>215</v>
      </c>
      <c r="D87" s="56" t="n">
        <f aca="false">IFERROR(D78/DCF!$C$37,"")</f>
        <v>42.1091493794326</v>
      </c>
      <c r="E87" s="56" t="n">
        <f aca="false">IFERROR(E78/DCF!$C$37,"")</f>
        <v>45.0460180812096</v>
      </c>
      <c r="F87" s="56" t="n">
        <f aca="false">IFERROR(F78/DCF!$C$37,"")</f>
        <v>48.1152314395227</v>
      </c>
    </row>
    <row r="88" customFormat="false" ht="15" hidden="false" customHeight="false" outlineLevel="0" collapsed="false">
      <c r="B88" s="5" t="s">
        <v>216</v>
      </c>
      <c r="D88" s="56" t="n">
        <f aca="false">IFERROR($C61*D61,"")</f>
        <v>44.7459677419355</v>
      </c>
      <c r="E88" s="56" t="n">
        <f aca="false">IFERROR($C61*E61,"")</f>
        <v>45.6352281667978</v>
      </c>
      <c r="F88" s="56" t="n">
        <f aca="false">IFERROR($C61*F61,"")</f>
        <v>47.0327040337711</v>
      </c>
    </row>
    <row r="89" customFormat="false" ht="15" hidden="false" customHeight="false" outlineLevel="0" collapsed="false">
      <c r="B89" s="5" t="s">
        <v>217</v>
      </c>
      <c r="D89" s="56" t="n">
        <f aca="false">IFERROR($C62*D62,"")</f>
        <v>43.7413817385445</v>
      </c>
      <c r="E89" s="56" t="n">
        <f aca="false">IFERROR($C62*E62,"")</f>
        <v>44.6208349056604</v>
      </c>
      <c r="F89" s="56" t="n">
        <f aca="false">IFERROR($C62*F62,"")</f>
        <v>46.0113836206897</v>
      </c>
    </row>
    <row r="90" customFormat="false" ht="15" hidden="false" customHeight="false" outlineLevel="0" collapsed="false">
      <c r="B90" s="17" t="s">
        <v>241</v>
      </c>
      <c r="C90" s="20"/>
      <c r="D90" s="20"/>
      <c r="E90" s="65" t="n">
        <f aca="false">DCF!$C$38</f>
        <v>34.3226908167175</v>
      </c>
      <c r="F90" s="20"/>
    </row>
    <row r="91" customFormat="false" ht="15" hidden="false" customHeight="false" outlineLevel="0" collapsed="false">
      <c r="B91" s="5" t="s">
        <v>242</v>
      </c>
      <c r="E91" s="66" t="n">
        <f aca="false">DCF!$D$38</f>
        <v>45.0498492759654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2026-10-13T23:36:54Z</dcterms:created>
  <dc:creator>openpyxl</dc:creator>
  <dc:description/>
  <dc:language>en-US</dc:language>
  <cp:lastModifiedBy/>
  <dcterms:modified xsi:type="dcterms:W3CDTF">2026-10-13T23:36:54Z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