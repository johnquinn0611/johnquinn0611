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Segment_Revenue" sheetId="2" state="visible" r:id="rId4"/>
  </sheets>
  <definedNames>
    <definedName function="false" hidden="false" name="BaseYear" vbProcedure="false">Assumptions!$C$10</definedName>
    <definedName function="false" hidden="false" name="CompanyName" vbProcedure="false">Assumptions!$C$7</definedName>
    <definedName function="false" hidden="false" name="FY_Labels" vbProcedure="false">Segment_Revenue!$C$4:$H$4</definedName>
    <definedName function="false" hidden="false" name="Period" vbProcedure="false">Segment_Revenue!$C$5:$H$5</definedName>
    <definedName function="false" hidden="false" name="Seg_Growth" vbProcedure="false">Assumptions!$D$21:$D$28</definedName>
    <definedName function="false" hidden="false" name="Seg_Margin" vbProcedure="false">Assumptions!$E$21:$E$28</definedName>
    <definedName function="false" hidden="false" name="Seg_Names" vbProcedure="false">Assumptions!$B$21:$B$28</definedName>
    <definedName function="false" hidden="false" name="Seg_Revenue" vbProcedure="false">Assumptions!$C$21:$C$28</definedName>
    <definedName function="false" hidden="false" name="TaxRate" vbProcedure="false">Assumptions!$C$14</definedName>
    <definedName function="false" hidden="false" name="TerminalGrowth" vbProcedure="false">Assumptions!$C$16</definedName>
    <definedName function="false" hidden="false" name="Ticker" vbProcedure="false">Assumptions!$C$8</definedName>
    <definedName function="false" hidden="false" name="Total_EBIT" vbProcedure="false">Segment_Revenue!$C$34:$H$34</definedName>
    <definedName function="false" hidden="false" name="Total_Revenue" vbProcedure="false">Segment_Revenue!$C$32:$H$32</definedName>
    <definedName function="false" hidden="false" name="Units" vbProcedure="false">Assumptions!$C$9</definedName>
    <definedName function="false" hidden="false" name="ValuationDate" vbProcedure="false">Assumptions!$C$11</definedName>
    <definedName function="false" hidden="false" name="WACC" vbProcedure="false">Assumptions!$C$15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<sst xmlns="http://schemas.openxmlformats.org/spreadsheetml/2006/main" count="62" uniqueCount="55">
  <si>
    <t xml:space="preserve">DCF Valuation Model - Assumptions &amp; Config</t>
  </si>
  <si>
    <t xml:space="preserve">All currency figures in $ millions unless noted. Edit only blue cells with yellow fill; everything else is formula-driven.</t>
  </si>
  <si>
    <t xml:space="preserve">Legend:</t>
  </si>
  <si>
    <t xml:space="preserve">Input</t>
  </si>
  <si>
    <t xml:space="preserve">Formula</t>
  </si>
  <si>
    <t xml:space="preserve">Link from other tab</t>
  </si>
  <si>
    <t xml:space="preserve">1. General / Config</t>
  </si>
  <si>
    <t xml:space="preserve">Company Name</t>
  </si>
  <si>
    <t xml:space="preserve">Example Co.</t>
  </si>
  <si>
    <t xml:space="preserve">Example placeholder - replace</t>
  </si>
  <si>
    <t xml:space="preserve">Ticker</t>
  </si>
  <si>
    <t xml:space="preserve">EXCO</t>
  </si>
  <si>
    <t xml:space="preserve">Units</t>
  </si>
  <si>
    <t xml:space="preserve">$ in millions</t>
  </si>
  <si>
    <t xml:space="preserve">Label only; shown in tab headers</t>
  </si>
  <si>
    <t xml:space="preserve">Last Actual Fiscal Year (Base Year)</t>
  </si>
  <si>
    <t xml:space="preserve">Projections run Base Year +1 through +5</t>
  </si>
  <si>
    <t xml:space="preserve">Valuation Date</t>
  </si>
  <si>
    <t xml:space="preserve">2. Company-Wide Valuation Inputs</t>
  </si>
  <si>
    <t xml:space="preserve">Tax Rate</t>
  </si>
  <si>
    <t xml:space="preserve">Example placeholder - effective/marginal cash tax rate</t>
  </si>
  <si>
    <t xml:space="preserve">Discount Rate (WACC)</t>
  </si>
  <si>
    <t xml:space="preserve">Example placeholder - replace with WACC build</t>
  </si>
  <si>
    <t xml:space="preserve">Terminal Growth Rate</t>
  </si>
  <si>
    <t xml:space="preserve">Example placeholder - long-run nominal growth</t>
  </si>
  <si>
    <t xml:space="preserve">Check: Terminal Growth &lt; WACC</t>
  </si>
  <si>
    <t xml:space="preserve">3. Segment Inputs (up to 8 segments)</t>
  </si>
  <si>
    <t xml:space="preserve">Segment Name</t>
  </si>
  <si>
    <t xml:space="preserve">Current Revenue ($mm)</t>
  </si>
  <si>
    <t xml:space="preserve">Projected Growth Rate (% / yr)</t>
  </si>
  <si>
    <t xml:space="preserve">Operating Margin (%)</t>
  </si>
  <si>
    <t xml:space="preserve">Notes / Source</t>
  </si>
  <si>
    <t xml:space="preserve">Products</t>
  </si>
  <si>
    <t xml:space="preserve">Example placeholder - replace with company data</t>
  </si>
  <si>
    <t xml:space="preserve">Services</t>
  </si>
  <si>
    <t xml:space="preserve">Licensing &amp; Other</t>
  </si>
  <si>
    <t xml:space="preserve">Total / Revenue-Weighted Average</t>
  </si>
  <si>
    <t xml:space="preserve">Model Notes</t>
  </si>
  <si>
    <t xml:space="preserve">1. To add a segment, fill the next empty slot (rows 21-28); Segment_Revenue picks it up automatically. Blank slots calculate as zero.</t>
  </si>
  <si>
    <t xml:space="preserve">2. Growth rate and operating margin are applied uniformly to all 5 projection years; base-year operating income = current revenue x operating margin.</t>
  </si>
  <si>
    <t xml:space="preserve">3. Time-series tabs share one column layout: C = base year (actual), D:H = years 1-5. Link downstream tabs to the Total Company Summary block on Segment_Revenue.</t>
  </si>
  <si>
    <t xml:space="preserve">4. Named ranges: CompanyName, Ticker, Units, BaseYear, ValuationDate, TaxRate, WACC, TerminalGrowth, Seg_Names, Seg_Revenue, Seg_Growth, Seg_Margin, FY_Labels, Period, Total_Revenue, Total_EBIT.</t>
  </si>
  <si>
    <t xml:space="preserve">5. Add new driver sections (e.g. 4. Working Capital, 5. Capex &amp; D&amp;A) below this notes block.</t>
  </si>
  <si>
    <t xml:space="preserve">Fiscal Year</t>
  </si>
  <si>
    <t xml:space="preserve">5-Yr CAGR</t>
  </si>
  <si>
    <t xml:space="preserve">Projection Period (t)</t>
  </si>
  <si>
    <t xml:space="preserve">Revenue by Segment</t>
  </si>
  <si>
    <t xml:space="preserve">Total Revenue</t>
  </si>
  <si>
    <t xml:space="preserve">  % Growth</t>
  </si>
  <si>
    <t xml:space="preserve">Operating Income by Segment</t>
  </si>
  <si>
    <t xml:space="preserve">Total Operating Income</t>
  </si>
  <si>
    <t xml:space="preserve">  % Operating Margin</t>
  </si>
  <si>
    <t xml:space="preserve">Total Company Summary (link downstream tabs to these rows)</t>
  </si>
  <si>
    <t xml:space="preserve">Total Operating Income (EBIT)</t>
  </si>
  <si>
    <t xml:space="preserve">Check: base-year revenue ties to Assumptions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</si>
</sst>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mmm\ d&quot;, &quot;yyyy"/>
    <numFmt numFmtId="167" formatCode="0.0%_);\(0.0%\);\-_)"/>
    <numFmt numFmtId="168" formatCode="\$#,##0.0_);&quot;($&quot;#,##0.0\);\-_)"/>
    <numFmt numFmtId="169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0"/>
      <color theme="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5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 t="s">
        <v>3</v>
      </c>
      <c r="D4" s="5" t="s">
        <v>4</v>
      </c>
      <c r="E4" s="6" t="s">
        <v>5</v>
      </c>
    </row>
    <row r="6" customFormat="false" ht="15" hidden="false" customHeight="false" outlineLevel="0" collapsed="false">
      <c r="B6" s="7" t="s">
        <v>6</v>
      </c>
      <c r="C6" s="8"/>
      <c r="D6" s="8"/>
      <c r="E6" s="8"/>
      <c r="F6" s="8"/>
    </row>
    <row r="7" customFormat="false" ht="15" hidden="false" customHeight="false" outlineLevel="0" collapsed="false">
      <c r="B7" s="5" t="s">
        <v>7</v>
      </c>
      <c r="C7" s="4" t="s">
        <v>8</v>
      </c>
      <c r="D7" s="2" t="s">
        <v>9</v>
      </c>
    </row>
    <row r="8" customFormat="false" ht="15" hidden="false" customHeight="false" outlineLevel="0" collapsed="false">
      <c r="B8" s="5" t="s">
        <v>10</v>
      </c>
      <c r="C8" s="4" t="s">
        <v>11</v>
      </c>
      <c r="D8" s="2" t="s">
        <v>9</v>
      </c>
    </row>
    <row r="9" customFormat="false" ht="15" hidden="false" customHeight="false" outlineLevel="0" collapsed="false">
      <c r="B9" s="5" t="s">
        <v>12</v>
      </c>
      <c r="C9" s="4" t="s">
        <v>13</v>
      </c>
      <c r="D9" s="2" t="s">
        <v>14</v>
      </c>
    </row>
    <row r="10" customFormat="false" ht="15" hidden="false" customHeight="false" outlineLevel="0" collapsed="false">
      <c r="B10" s="5" t="s">
        <v>15</v>
      </c>
      <c r="C10" s="9" t="n">
        <v>2025</v>
      </c>
      <c r="D10" s="2" t="s">
        <v>16</v>
      </c>
    </row>
    <row r="11" customFormat="false" ht="15" hidden="false" customHeight="false" outlineLevel="0" collapsed="false">
      <c r="B11" s="5" t="s">
        <v>17</v>
      </c>
      <c r="C11" s="10" t="n">
        <v>46308</v>
      </c>
      <c r="D11" s="2" t="s">
        <v>9</v>
      </c>
    </row>
    <row r="13" customFormat="false" ht="15" hidden="false" customHeight="false" outlineLevel="0" collapsed="false">
      <c r="B13" s="7" t="s">
        <v>18</v>
      </c>
      <c r="C13" s="8"/>
      <c r="D13" s="8"/>
      <c r="E13" s="8"/>
      <c r="F13" s="8"/>
    </row>
    <row r="14" customFormat="false" ht="15" hidden="false" customHeight="false" outlineLevel="0" collapsed="false">
      <c r="B14" s="5" t="s">
        <v>19</v>
      </c>
      <c r="C14" s="11" t="n">
        <v>0.25</v>
      </c>
      <c r="D14" s="2" t="s">
        <v>20</v>
      </c>
    </row>
    <row r="15" customFormat="false" ht="15" hidden="false" customHeight="false" outlineLevel="0" collapsed="false">
      <c r="B15" s="5" t="s">
        <v>21</v>
      </c>
      <c r="C15" s="11" t="n">
        <v>0.09</v>
      </c>
      <c r="D15" s="2" t="s">
        <v>22</v>
      </c>
    </row>
    <row r="16" customFormat="false" ht="15" hidden="false" customHeight="false" outlineLevel="0" collapsed="false">
      <c r="B16" s="5" t="s">
        <v>23</v>
      </c>
      <c r="C16" s="11" t="n">
        <v>0.025</v>
      </c>
      <c r="D16" s="2" t="s">
        <v>24</v>
      </c>
    </row>
    <row r="17" customFormat="false" ht="15" hidden="false" customHeight="false" outlineLevel="0" collapsed="false">
      <c r="B17" s="2" t="s">
        <v>25</v>
      </c>
      <c r="C17" s="3" t="str">
        <f aca="false">IF(C16&lt;C15,"OK","ERROR")</f>
        <v>OK</v>
      </c>
    </row>
    <row r="19" customFormat="false" ht="15" hidden="false" customHeight="false" outlineLevel="0" collapsed="false">
      <c r="B19" s="7" t="s">
        <v>26</v>
      </c>
      <c r="C19" s="8"/>
      <c r="D19" s="8"/>
      <c r="E19" s="8"/>
      <c r="F19" s="8"/>
    </row>
    <row r="20" customFormat="false" ht="30" hidden="false" customHeight="true" outlineLevel="0" collapsed="false">
      <c r="B20" s="12" t="s">
        <v>27</v>
      </c>
      <c r="C20" s="13" t="s">
        <v>28</v>
      </c>
      <c r="D20" s="13" t="s">
        <v>29</v>
      </c>
      <c r="E20" s="13" t="s">
        <v>30</v>
      </c>
      <c r="F20" s="12" t="s">
        <v>31</v>
      </c>
    </row>
    <row r="21" customFormat="false" ht="15" hidden="false" customHeight="false" outlineLevel="0" collapsed="false">
      <c r="B21" s="4" t="s">
        <v>32</v>
      </c>
      <c r="C21" s="14" t="n">
        <v>1200</v>
      </c>
      <c r="D21" s="11" t="n">
        <v>0.06</v>
      </c>
      <c r="E21" s="11" t="n">
        <v>0.22</v>
      </c>
      <c r="F21" s="15" t="s">
        <v>33</v>
      </c>
    </row>
    <row r="22" customFormat="false" ht="15" hidden="false" customHeight="false" outlineLevel="0" collapsed="false">
      <c r="B22" s="4" t="s">
        <v>34</v>
      </c>
      <c r="C22" s="14" t="n">
        <v>650</v>
      </c>
      <c r="D22" s="11" t="n">
        <v>0.1</v>
      </c>
      <c r="E22" s="11" t="n">
        <v>0.3</v>
      </c>
      <c r="F22" s="15" t="s">
        <v>33</v>
      </c>
    </row>
    <row r="23" customFormat="false" ht="15" hidden="false" customHeight="false" outlineLevel="0" collapsed="false">
      <c r="B23" s="4" t="s">
        <v>35</v>
      </c>
      <c r="C23" s="14" t="n">
        <v>150</v>
      </c>
      <c r="D23" s="11" t="n">
        <v>0.03</v>
      </c>
      <c r="E23" s="11" t="n">
        <v>0.08</v>
      </c>
      <c r="F23" s="15" t="s">
        <v>33</v>
      </c>
    </row>
    <row r="24" customFormat="false" ht="15" hidden="false" customHeight="false" outlineLevel="0" collapsed="false">
      <c r="B24" s="4"/>
      <c r="C24" s="14"/>
      <c r="D24" s="11"/>
      <c r="E24" s="11"/>
      <c r="F24" s="15"/>
    </row>
    <row r="25" customFormat="false" ht="15" hidden="false" customHeight="false" outlineLevel="0" collapsed="false">
      <c r="B25" s="4"/>
      <c r="C25" s="14"/>
      <c r="D25" s="11"/>
      <c r="E25" s="11"/>
      <c r="F25" s="15"/>
    </row>
    <row r="26" customFormat="false" ht="15" hidden="false" customHeight="false" outlineLevel="0" collapsed="false">
      <c r="B26" s="4"/>
      <c r="C26" s="14"/>
      <c r="D26" s="11"/>
      <c r="E26" s="11"/>
      <c r="F26" s="15"/>
    </row>
    <row r="27" customFormat="false" ht="15" hidden="false" customHeight="false" outlineLevel="0" collapsed="false">
      <c r="B27" s="4"/>
      <c r="C27" s="14"/>
      <c r="D27" s="11"/>
      <c r="E27" s="11"/>
      <c r="F27" s="15"/>
    </row>
    <row r="28" customFormat="false" ht="15" hidden="false" customHeight="false" outlineLevel="0" collapsed="false">
      <c r="B28" s="4"/>
      <c r="C28" s="14"/>
      <c r="D28" s="11"/>
      <c r="E28" s="11"/>
      <c r="F28" s="15"/>
    </row>
    <row r="29" customFormat="false" ht="15" hidden="false" customHeight="false" outlineLevel="0" collapsed="false">
      <c r="B29" s="16" t="s">
        <v>36</v>
      </c>
      <c r="C29" s="17" t="n">
        <f aca="false">SUM(C21:C28)</f>
        <v>2000</v>
      </c>
      <c r="D29" s="18" t="n">
        <f aca="false">IF(C29=0,0,SUMPRODUCT(C21:C28,D21:D28)/C29)</f>
        <v>0.07075</v>
      </c>
      <c r="E29" s="18" t="n">
        <f aca="false">IF(C29=0,0,SUMPRODUCT(C21:C28,E21:E28)/C29)</f>
        <v>0.2355</v>
      </c>
      <c r="F29" s="19"/>
    </row>
    <row r="31" customFormat="false" ht="15" hidden="false" customHeight="false" outlineLevel="0" collapsed="false">
      <c r="B31" s="3" t="s">
        <v>37</v>
      </c>
    </row>
    <row r="32" customFormat="false" ht="15" hidden="false" customHeight="false" outlineLevel="0" collapsed="false">
      <c r="B32" s="2" t="s">
        <v>38</v>
      </c>
    </row>
    <row r="33" customFormat="false" ht="15" hidden="false" customHeight="false" outlineLevel="0" collapsed="false">
      <c r="B33" s="2" t="s">
        <v>39</v>
      </c>
    </row>
    <row r="34" customFormat="false" ht="15" hidden="false" customHeight="false" outlineLevel="0" collapsed="false">
      <c r="B34" s="2" t="s">
        <v>40</v>
      </c>
    </row>
    <row r="35" customFormat="false" ht="15" hidden="false" customHeight="false" outlineLevel="0" collapsed="false">
      <c r="B35" s="2" t="s">
        <v>41</v>
      </c>
    </row>
    <row r="36" customFormat="false" ht="15" hidden="false" customHeight="false" outlineLevel="0" collapsed="false">
      <c r="B36" s="2" t="s">
        <v>42</v>
      </c>
    </row>
  </sheetData>
  <dataValidations count="4">
    <dataValidation allowBlank="true" error="Enter a percentage between 0% and 100% (e.g. 25% or 0.25)." errorStyle="stop" errorTitle="Invalid percentage" operator="between" showDropDown="false" showErrorMessage="true" showInputMessage="false" sqref="C14:C15" type="decimal">
      <formula1>0</formula1>
      <formula2>1</formula2>
    </dataValidation>
    <dataValidation allowBlank="true" error="Enter a percentage between -10% and 20% (e.g. 25% or 0.25)." errorStyle="stop" errorTitle="Invalid percentage" operator="between" showDropDown="false" showErrorMessage="true" showInputMessage="false" sqref="C16" type="decimal">
      <formula1>-0.1</formula1>
      <formula2>0.2</formula2>
    </dataValidation>
    <dataValidation allowBlank="true" error="Enter a percentage between -100% and 100% (e.g. 25% or 0.25)." errorStyle="stop" errorTitle="Invalid percentage" operator="between" showDropDown="false" showErrorMessage="true" showInputMessage="false" sqref="D21:D28" type="decimal">
      <formula1>-1</formula1>
      <formula2>1</formula2>
    </dataValidation>
    <dataValidation allowBlank="true" error="Enter a percentage between -100% and 100% (e.g. 25% or 0.25)." errorStyle="stop" errorTitle="Invalid percentage" operator="between" showDropDown="false" showErrorMessage="true" showInputMessage="false" sqref="E21:E28" type="decimal">
      <formula1>-1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9" min="3" style="0" width="13"/>
  </cols>
  <sheetData>
    <row r="1" customFormat="false" ht="17.35" hidden="false" customHeight="false" outlineLevel="0" collapsed="false">
      <c r="B1" s="1" t="str">
        <f aca="false">CompanyName&amp;" - Segment Revenue &amp; Operating Income Build"</f>
        <v>Example Co. - Segment Revenue &amp; Operating Income Build</v>
      </c>
    </row>
    <row r="2" customFormat="false" ht="15" hidden="false" customHeight="false" outlineLevel="0" collapsed="false">
      <c r="B2" s="2" t="str">
        <f aca="false">"("&amp;Units&amp;"; all drivers link to the Assumptions tab)"</f>
        <v>($ in millions; all drivers link to the Assumptions tab)</v>
      </c>
    </row>
    <row r="4" customFormat="false" ht="15" hidden="false" customHeight="false" outlineLevel="0" collapsed="false">
      <c r="B4" s="20" t="s">
        <v>43</v>
      </c>
      <c r="C4" s="21" t="str">
        <f aca="false">"FY"&amp;BaseYear&amp;"A"</f>
        <v>FY2025A</v>
      </c>
      <c r="D4" s="21" t="str">
        <f aca="false">"FY"&amp;(BaseYear+D$5)&amp;"E"</f>
        <v>FY2026E</v>
      </c>
      <c r="E4" s="21" t="str">
        <f aca="false">"FY"&amp;(BaseYear+E$5)&amp;"E"</f>
        <v>FY2027E</v>
      </c>
      <c r="F4" s="21" t="str">
        <f aca="false">"FY"&amp;(BaseYear+F$5)&amp;"E"</f>
        <v>FY2028E</v>
      </c>
      <c r="G4" s="21" t="str">
        <f aca="false">"FY"&amp;(BaseYear+G$5)&amp;"E"</f>
        <v>FY2029E</v>
      </c>
      <c r="H4" s="21" t="str">
        <f aca="false">"FY"&amp;(BaseYear+H$5)&amp;"E"</f>
        <v>FY2030E</v>
      </c>
      <c r="I4" s="21" t="s">
        <v>44</v>
      </c>
    </row>
    <row r="5" customFormat="false" ht="15" hidden="false" customHeight="false" outlineLevel="0" collapsed="false">
      <c r="B5" s="22" t="s">
        <v>45</v>
      </c>
      <c r="C5" s="23" t="n">
        <v>0</v>
      </c>
      <c r="D5" s="24" t="n">
        <f aca="false">C5+1</f>
        <v>1</v>
      </c>
      <c r="E5" s="24" t="n">
        <f aca="false">D5+1</f>
        <v>2</v>
      </c>
      <c r="F5" s="24" t="n">
        <f aca="false">E5+1</f>
        <v>3</v>
      </c>
      <c r="G5" s="24" t="n">
        <f aca="false">F5+1</f>
        <v>4</v>
      </c>
      <c r="H5" s="24" t="n">
        <f aca="false">G5+1</f>
        <v>5</v>
      </c>
      <c r="I5" s="25"/>
    </row>
    <row r="7" customFormat="false" ht="15" hidden="false" customHeight="false" outlineLevel="0" collapsed="false">
      <c r="B7" s="7" t="s">
        <v>46</v>
      </c>
      <c r="C7" s="8"/>
      <c r="D7" s="8"/>
      <c r="E7" s="8"/>
      <c r="F7" s="8"/>
      <c r="G7" s="8"/>
      <c r="H7" s="8"/>
      <c r="I7" s="8"/>
    </row>
    <row r="8" customFormat="false" ht="15" hidden="false" customHeight="false" outlineLevel="0" collapsed="false">
      <c r="B8" s="6" t="str">
        <f aca="false">IF(Assumptions!$B21="","",Assumptions!$B21)</f>
        <v>Products</v>
      </c>
      <c r="C8" s="26" t="n">
        <f aca="false">Assumptions!$C21</f>
        <v>1200</v>
      </c>
      <c r="D8" s="27" t="n">
        <f aca="false">C8*(1+Assumptions!$D21)</f>
        <v>1272</v>
      </c>
      <c r="E8" s="27" t="n">
        <f aca="false">D8*(1+Assumptions!$D21)</f>
        <v>1348.32</v>
      </c>
      <c r="F8" s="27" t="n">
        <f aca="false">E8*(1+Assumptions!$D21)</f>
        <v>1429.2192</v>
      </c>
      <c r="G8" s="27" t="n">
        <f aca="false">F8*(1+Assumptions!$D21)</f>
        <v>1514.972352</v>
      </c>
      <c r="H8" s="27" t="n">
        <f aca="false">G8*(1+Assumptions!$D21)</f>
        <v>1605.87069312</v>
      </c>
      <c r="I8" s="28" t="n">
        <f aca="false">IF(C8&lt;=0,0,(H8/C8)^(1/$H$5)-1)</f>
        <v>0.0600000000000001</v>
      </c>
    </row>
    <row r="9" customFormat="false" ht="15" hidden="false" customHeight="false" outlineLevel="0" collapsed="false">
      <c r="B9" s="6" t="str">
        <f aca="false">IF(Assumptions!$B22="","",Assumptions!$B22)</f>
        <v>Services</v>
      </c>
      <c r="C9" s="26" t="n">
        <f aca="false">Assumptions!$C22</f>
        <v>650</v>
      </c>
      <c r="D9" s="27" t="n">
        <f aca="false">C9*(1+Assumptions!$D22)</f>
        <v>715</v>
      </c>
      <c r="E9" s="27" t="n">
        <f aca="false">D9*(1+Assumptions!$D22)</f>
        <v>786.5</v>
      </c>
      <c r="F9" s="27" t="n">
        <f aca="false">E9*(1+Assumptions!$D22)</f>
        <v>865.15</v>
      </c>
      <c r="G9" s="27" t="n">
        <f aca="false">F9*(1+Assumptions!$D22)</f>
        <v>951.665</v>
      </c>
      <c r="H9" s="27" t="n">
        <f aca="false">G9*(1+Assumptions!$D22)</f>
        <v>1046.8315</v>
      </c>
      <c r="I9" s="28" t="n">
        <f aca="false">IF(C9&lt;=0,0,(H9/C9)^(1/$H$5)-1)</f>
        <v>0.1</v>
      </c>
    </row>
    <row r="10" customFormat="false" ht="15" hidden="false" customHeight="false" outlineLevel="0" collapsed="false">
      <c r="B10" s="6" t="str">
        <f aca="false">IF(Assumptions!$B23="","",Assumptions!$B23)</f>
        <v>Licensing &amp; Other</v>
      </c>
      <c r="C10" s="26" t="n">
        <f aca="false">Assumptions!$C23</f>
        <v>150</v>
      </c>
      <c r="D10" s="27" t="n">
        <f aca="false">C10*(1+Assumptions!$D23)</f>
        <v>154.5</v>
      </c>
      <c r="E10" s="27" t="n">
        <f aca="false">D10*(1+Assumptions!$D23)</f>
        <v>159.135</v>
      </c>
      <c r="F10" s="27" t="n">
        <f aca="false">E10*(1+Assumptions!$D23)</f>
        <v>163.90905</v>
      </c>
      <c r="G10" s="27" t="n">
        <f aca="false">F10*(1+Assumptions!$D23)</f>
        <v>168.8263215</v>
      </c>
      <c r="H10" s="27" t="n">
        <f aca="false">G10*(1+Assumptions!$D23)</f>
        <v>173.891111145</v>
      </c>
      <c r="I10" s="28" t="n">
        <f aca="false">IF(C10&lt;=0,0,(H10/C10)^(1/$H$5)-1)</f>
        <v>0.03</v>
      </c>
    </row>
    <row r="11" customFormat="false" ht="15" hidden="false" customHeight="false" outlineLevel="0" collapsed="false">
      <c r="B11" s="6" t="str">
        <f aca="false">IF(Assumptions!$B24="","",Assumptions!$B24)</f>
        <v/>
      </c>
      <c r="C11" s="26" t="n">
        <f aca="false">Assumptions!$C24</f>
        <v>0</v>
      </c>
      <c r="D11" s="27" t="n">
        <f aca="false">C11*(1+Assumptions!$D24)</f>
        <v>0</v>
      </c>
      <c r="E11" s="27" t="n">
        <f aca="false">D11*(1+Assumptions!$D24)</f>
        <v>0</v>
      </c>
      <c r="F11" s="27" t="n">
        <f aca="false">E11*(1+Assumptions!$D24)</f>
        <v>0</v>
      </c>
      <c r="G11" s="27" t="n">
        <f aca="false">F11*(1+Assumptions!$D24)</f>
        <v>0</v>
      </c>
      <c r="H11" s="27" t="n">
        <f aca="false">G11*(1+Assumptions!$D24)</f>
        <v>0</v>
      </c>
      <c r="I11" s="28" t="n">
        <f aca="false">IF(C11&lt;=0,0,(H11/C11)^(1/$H$5)-1)</f>
        <v>0</v>
      </c>
    </row>
    <row r="12" customFormat="false" ht="15" hidden="false" customHeight="false" outlineLevel="0" collapsed="false">
      <c r="B12" s="6" t="str">
        <f aca="false">IF(Assumptions!$B25="","",Assumptions!$B25)</f>
        <v/>
      </c>
      <c r="C12" s="26" t="n">
        <f aca="false">Assumptions!$C25</f>
        <v>0</v>
      </c>
      <c r="D12" s="27" t="n">
        <f aca="false">C12*(1+Assumptions!$D25)</f>
        <v>0</v>
      </c>
      <c r="E12" s="27" t="n">
        <f aca="false">D12*(1+Assumptions!$D25)</f>
        <v>0</v>
      </c>
      <c r="F12" s="27" t="n">
        <f aca="false">E12*(1+Assumptions!$D25)</f>
        <v>0</v>
      </c>
      <c r="G12" s="27" t="n">
        <f aca="false">F12*(1+Assumptions!$D25)</f>
        <v>0</v>
      </c>
      <c r="H12" s="27" t="n">
        <f aca="false">G12*(1+Assumptions!$D25)</f>
        <v>0</v>
      </c>
      <c r="I12" s="28" t="n">
        <f aca="false">IF(C12&lt;=0,0,(H12/C12)^(1/$H$5)-1)</f>
        <v>0</v>
      </c>
    </row>
    <row r="13" customFormat="false" ht="15" hidden="false" customHeight="false" outlineLevel="0" collapsed="false">
      <c r="B13" s="6" t="str">
        <f aca="false">IF(Assumptions!$B26="","",Assumptions!$B26)</f>
        <v/>
      </c>
      <c r="C13" s="26" t="n">
        <f aca="false">Assumptions!$C26</f>
        <v>0</v>
      </c>
      <c r="D13" s="27" t="n">
        <f aca="false">C13*(1+Assumptions!$D26)</f>
        <v>0</v>
      </c>
      <c r="E13" s="27" t="n">
        <f aca="false">D13*(1+Assumptions!$D26)</f>
        <v>0</v>
      </c>
      <c r="F13" s="27" t="n">
        <f aca="false">E13*(1+Assumptions!$D26)</f>
        <v>0</v>
      </c>
      <c r="G13" s="27" t="n">
        <f aca="false">F13*(1+Assumptions!$D26)</f>
        <v>0</v>
      </c>
      <c r="H13" s="27" t="n">
        <f aca="false">G13*(1+Assumptions!$D26)</f>
        <v>0</v>
      </c>
      <c r="I13" s="28" t="n">
        <f aca="false">IF(C13&lt;=0,0,(H13/C13)^(1/$H$5)-1)</f>
        <v>0</v>
      </c>
    </row>
    <row r="14" customFormat="false" ht="15" hidden="false" customHeight="false" outlineLevel="0" collapsed="false">
      <c r="B14" s="6" t="str">
        <f aca="false">IF(Assumptions!$B27="","",Assumptions!$B27)</f>
        <v/>
      </c>
      <c r="C14" s="26" t="n">
        <f aca="false">Assumptions!$C27</f>
        <v>0</v>
      </c>
      <c r="D14" s="27" t="n">
        <f aca="false">C14*(1+Assumptions!$D27)</f>
        <v>0</v>
      </c>
      <c r="E14" s="27" t="n">
        <f aca="false">D14*(1+Assumptions!$D27)</f>
        <v>0</v>
      </c>
      <c r="F14" s="27" t="n">
        <f aca="false">E14*(1+Assumptions!$D27)</f>
        <v>0</v>
      </c>
      <c r="G14" s="27" t="n">
        <f aca="false">F14*(1+Assumptions!$D27)</f>
        <v>0</v>
      </c>
      <c r="H14" s="27" t="n">
        <f aca="false">G14*(1+Assumptions!$D27)</f>
        <v>0</v>
      </c>
      <c r="I14" s="28" t="n">
        <f aca="false">IF(C14&lt;=0,0,(H14/C14)^(1/$H$5)-1)</f>
        <v>0</v>
      </c>
    </row>
    <row r="15" customFormat="false" ht="15" hidden="false" customHeight="false" outlineLevel="0" collapsed="false">
      <c r="B15" s="6" t="str">
        <f aca="false">IF(Assumptions!$B28="","",Assumptions!$B28)</f>
        <v/>
      </c>
      <c r="C15" s="26" t="n">
        <f aca="false">Assumptions!$C28</f>
        <v>0</v>
      </c>
      <c r="D15" s="27" t="n">
        <f aca="false">C15*(1+Assumptions!$D28)</f>
        <v>0</v>
      </c>
      <c r="E15" s="27" t="n">
        <f aca="false">D15*(1+Assumptions!$D28)</f>
        <v>0</v>
      </c>
      <c r="F15" s="27" t="n">
        <f aca="false">E15*(1+Assumptions!$D28)</f>
        <v>0</v>
      </c>
      <c r="G15" s="27" t="n">
        <f aca="false">F15*(1+Assumptions!$D28)</f>
        <v>0</v>
      </c>
      <c r="H15" s="27" t="n">
        <f aca="false">G15*(1+Assumptions!$D28)</f>
        <v>0</v>
      </c>
      <c r="I15" s="28" t="n">
        <f aca="false">IF(C15&lt;=0,0,(H15/C15)^(1/$H$5)-1)</f>
        <v>0</v>
      </c>
    </row>
    <row r="16" customFormat="false" ht="15" hidden="false" customHeight="false" outlineLevel="0" collapsed="false">
      <c r="B16" s="16" t="s">
        <v>47</v>
      </c>
      <c r="C16" s="17" t="n">
        <f aca="false">SUM(C8:C15)</f>
        <v>2000</v>
      </c>
      <c r="D16" s="17" t="n">
        <f aca="false">SUM(D8:D15)</f>
        <v>2141.5</v>
      </c>
      <c r="E16" s="17" t="n">
        <f aca="false">SUM(E8:E15)</f>
        <v>2293.955</v>
      </c>
      <c r="F16" s="17" t="n">
        <f aca="false">SUM(F8:F15)</f>
        <v>2458.27825</v>
      </c>
      <c r="G16" s="17" t="n">
        <f aca="false">SUM(G8:G15)</f>
        <v>2635.4636735</v>
      </c>
      <c r="H16" s="17" t="n">
        <f aca="false">SUM(H8:H15)</f>
        <v>2826.593304265</v>
      </c>
      <c r="I16" s="18" t="n">
        <f aca="false">IF(C16&lt;=0,0,(H16/C16)^(1/$H$5)-1)</f>
        <v>0.071634448875455</v>
      </c>
    </row>
    <row r="17" customFormat="false" ht="15" hidden="false" customHeight="false" outlineLevel="0" collapsed="false">
      <c r="B17" s="2" t="s">
        <v>48</v>
      </c>
      <c r="D17" s="29" t="n">
        <f aca="false">IF(C16=0,0,D16/C16-1)</f>
        <v>0.0707500000000001</v>
      </c>
      <c r="E17" s="29" t="n">
        <f aca="false">IF(D16=0,0,E16/D16-1)</f>
        <v>0.0711907541442918</v>
      </c>
      <c r="F17" s="29" t="n">
        <f aca="false">IF(E16=0,0,F16/E16-1)</f>
        <v>0.0716331619408401</v>
      </c>
      <c r="G17" s="29" t="n">
        <f aca="false">IF(F16=0,0,G16/F16-1)</f>
        <v>0.0720770415228627</v>
      </c>
      <c r="H17" s="29" t="n">
        <f aca="false">IF(G16=0,0,H16/G16-1)</f>
        <v>0.0725222027102246</v>
      </c>
    </row>
    <row r="19" customFormat="false" ht="15" hidden="false" customHeight="false" outlineLevel="0" collapsed="false">
      <c r="B19" s="7" t="s">
        <v>49</v>
      </c>
      <c r="C19" s="8"/>
      <c r="D19" s="8"/>
      <c r="E19" s="8"/>
      <c r="F19" s="8"/>
      <c r="G19" s="8"/>
      <c r="H19" s="8"/>
      <c r="I19" s="8"/>
    </row>
    <row r="20" customFormat="false" ht="15" hidden="false" customHeight="false" outlineLevel="0" collapsed="false">
      <c r="B20" s="6" t="str">
        <f aca="false">IF(Assumptions!$B21="","",Assumptions!$B21)</f>
        <v>Products</v>
      </c>
      <c r="C20" s="27" t="n">
        <f aca="false">C8*Assumptions!$E21</f>
        <v>264</v>
      </c>
      <c r="D20" s="27" t="n">
        <f aca="false">D8*Assumptions!$E21</f>
        <v>279.84</v>
      </c>
      <c r="E20" s="27" t="n">
        <f aca="false">E8*Assumptions!$E21</f>
        <v>296.6304</v>
      </c>
      <c r="F20" s="27" t="n">
        <f aca="false">F8*Assumptions!$E21</f>
        <v>314.428224</v>
      </c>
      <c r="G20" s="27" t="n">
        <f aca="false">G8*Assumptions!$E21</f>
        <v>333.29391744</v>
      </c>
      <c r="H20" s="27" t="n">
        <f aca="false">H8*Assumptions!$E21</f>
        <v>353.2915524864</v>
      </c>
      <c r="I20" s="28" t="n">
        <f aca="false">IF(C20&lt;=0,0,(H20/C20)^(1/$H$5)-1)</f>
        <v>0.0600000000000001</v>
      </c>
    </row>
    <row r="21" customFormat="false" ht="15" hidden="false" customHeight="false" outlineLevel="0" collapsed="false">
      <c r="B21" s="6" t="str">
        <f aca="false">IF(Assumptions!$B22="","",Assumptions!$B22)</f>
        <v>Services</v>
      </c>
      <c r="C21" s="27" t="n">
        <f aca="false">C9*Assumptions!$E22</f>
        <v>195</v>
      </c>
      <c r="D21" s="27" t="n">
        <f aca="false">D9*Assumptions!$E22</f>
        <v>214.5</v>
      </c>
      <c r="E21" s="27" t="n">
        <f aca="false">E9*Assumptions!$E22</f>
        <v>235.95</v>
      </c>
      <c r="F21" s="27" t="n">
        <f aca="false">F9*Assumptions!$E22</f>
        <v>259.545</v>
      </c>
      <c r="G21" s="27" t="n">
        <f aca="false">G9*Assumptions!$E22</f>
        <v>285.4995</v>
      </c>
      <c r="H21" s="27" t="n">
        <f aca="false">H9*Assumptions!$E22</f>
        <v>314.04945</v>
      </c>
      <c r="I21" s="28" t="n">
        <f aca="false">IF(C21&lt;=0,0,(H21/C21)^(1/$H$5)-1)</f>
        <v>0.1</v>
      </c>
    </row>
    <row r="22" customFormat="false" ht="15" hidden="false" customHeight="false" outlineLevel="0" collapsed="false">
      <c r="B22" s="6" t="str">
        <f aca="false">IF(Assumptions!$B23="","",Assumptions!$B23)</f>
        <v>Licensing &amp; Other</v>
      </c>
      <c r="C22" s="27" t="n">
        <f aca="false">C10*Assumptions!$E23</f>
        <v>12</v>
      </c>
      <c r="D22" s="27" t="n">
        <f aca="false">D10*Assumptions!$E23</f>
        <v>12.36</v>
      </c>
      <c r="E22" s="27" t="n">
        <f aca="false">E10*Assumptions!$E23</f>
        <v>12.7308</v>
      </c>
      <c r="F22" s="27" t="n">
        <f aca="false">F10*Assumptions!$E23</f>
        <v>13.112724</v>
      </c>
      <c r="G22" s="27" t="n">
        <f aca="false">G10*Assumptions!$E23</f>
        <v>13.50610572</v>
      </c>
      <c r="H22" s="27" t="n">
        <f aca="false">H10*Assumptions!$E23</f>
        <v>13.9112888916</v>
      </c>
      <c r="I22" s="28" t="n">
        <f aca="false">IF(C22&lt;=0,0,(H22/C22)^(1/$H$5)-1)</f>
        <v>0.03</v>
      </c>
    </row>
    <row r="23" customFormat="false" ht="15" hidden="false" customHeight="false" outlineLevel="0" collapsed="false">
      <c r="B23" s="6" t="str">
        <f aca="false">IF(Assumptions!$B24="","",Assumptions!$B24)</f>
        <v/>
      </c>
      <c r="C23" s="27" t="n">
        <f aca="false">C11*Assumptions!$E24</f>
        <v>0</v>
      </c>
      <c r="D23" s="27" t="n">
        <f aca="false">D11*Assumptions!$E24</f>
        <v>0</v>
      </c>
      <c r="E23" s="27" t="n">
        <f aca="false">E11*Assumptions!$E24</f>
        <v>0</v>
      </c>
      <c r="F23" s="27" t="n">
        <f aca="false">F11*Assumptions!$E24</f>
        <v>0</v>
      </c>
      <c r="G23" s="27" t="n">
        <f aca="false">G11*Assumptions!$E24</f>
        <v>0</v>
      </c>
      <c r="H23" s="27" t="n">
        <f aca="false">H11*Assumptions!$E24</f>
        <v>0</v>
      </c>
      <c r="I23" s="28" t="n">
        <f aca="false">IF(C23&lt;=0,0,(H23/C23)^(1/$H$5)-1)</f>
        <v>0</v>
      </c>
    </row>
    <row r="24" customFormat="false" ht="15" hidden="false" customHeight="false" outlineLevel="0" collapsed="false">
      <c r="B24" s="6" t="str">
        <f aca="false">IF(Assumptions!$B25="","",Assumptions!$B25)</f>
        <v/>
      </c>
      <c r="C24" s="27" t="n">
        <f aca="false">C12*Assumptions!$E25</f>
        <v>0</v>
      </c>
      <c r="D24" s="27" t="n">
        <f aca="false">D12*Assumptions!$E25</f>
        <v>0</v>
      </c>
      <c r="E24" s="27" t="n">
        <f aca="false">E12*Assumptions!$E25</f>
        <v>0</v>
      </c>
      <c r="F24" s="27" t="n">
        <f aca="false">F12*Assumptions!$E25</f>
        <v>0</v>
      </c>
      <c r="G24" s="27" t="n">
        <f aca="false">G12*Assumptions!$E25</f>
        <v>0</v>
      </c>
      <c r="H24" s="27" t="n">
        <f aca="false">H12*Assumptions!$E25</f>
        <v>0</v>
      </c>
      <c r="I24" s="28" t="n">
        <f aca="false">IF(C24&lt;=0,0,(H24/C24)^(1/$H$5)-1)</f>
        <v>0</v>
      </c>
    </row>
    <row r="25" customFormat="false" ht="15" hidden="false" customHeight="false" outlineLevel="0" collapsed="false">
      <c r="B25" s="6" t="str">
        <f aca="false">IF(Assumptions!$B26="","",Assumptions!$B26)</f>
        <v/>
      </c>
      <c r="C25" s="27" t="n">
        <f aca="false">C13*Assumptions!$E26</f>
        <v>0</v>
      </c>
      <c r="D25" s="27" t="n">
        <f aca="false">D13*Assumptions!$E26</f>
        <v>0</v>
      </c>
      <c r="E25" s="27" t="n">
        <f aca="false">E13*Assumptions!$E26</f>
        <v>0</v>
      </c>
      <c r="F25" s="27" t="n">
        <f aca="false">F13*Assumptions!$E26</f>
        <v>0</v>
      </c>
      <c r="G25" s="27" t="n">
        <f aca="false">G13*Assumptions!$E26</f>
        <v>0</v>
      </c>
      <c r="H25" s="27" t="n">
        <f aca="false">H13*Assumptions!$E26</f>
        <v>0</v>
      </c>
      <c r="I25" s="28" t="n">
        <f aca="false">IF(C25&lt;=0,0,(H25/C25)^(1/$H$5)-1)</f>
        <v>0</v>
      </c>
    </row>
    <row r="26" customFormat="false" ht="15" hidden="false" customHeight="false" outlineLevel="0" collapsed="false">
      <c r="B26" s="6" t="str">
        <f aca="false">IF(Assumptions!$B27="","",Assumptions!$B27)</f>
        <v/>
      </c>
      <c r="C26" s="27" t="n">
        <f aca="false">C14*Assumptions!$E27</f>
        <v>0</v>
      </c>
      <c r="D26" s="27" t="n">
        <f aca="false">D14*Assumptions!$E27</f>
        <v>0</v>
      </c>
      <c r="E26" s="27" t="n">
        <f aca="false">E14*Assumptions!$E27</f>
        <v>0</v>
      </c>
      <c r="F26" s="27" t="n">
        <f aca="false">F14*Assumptions!$E27</f>
        <v>0</v>
      </c>
      <c r="G26" s="27" t="n">
        <f aca="false">G14*Assumptions!$E27</f>
        <v>0</v>
      </c>
      <c r="H26" s="27" t="n">
        <f aca="false">H14*Assumptions!$E27</f>
        <v>0</v>
      </c>
      <c r="I26" s="28" t="n">
        <f aca="false">IF(C26&lt;=0,0,(H26/C26)^(1/$H$5)-1)</f>
        <v>0</v>
      </c>
    </row>
    <row r="27" customFormat="false" ht="15" hidden="false" customHeight="false" outlineLevel="0" collapsed="false">
      <c r="B27" s="6" t="str">
        <f aca="false">IF(Assumptions!$B28="","",Assumptions!$B28)</f>
        <v/>
      </c>
      <c r="C27" s="27" t="n">
        <f aca="false">C15*Assumptions!$E28</f>
        <v>0</v>
      </c>
      <c r="D27" s="27" t="n">
        <f aca="false">D15*Assumptions!$E28</f>
        <v>0</v>
      </c>
      <c r="E27" s="27" t="n">
        <f aca="false">E15*Assumptions!$E28</f>
        <v>0</v>
      </c>
      <c r="F27" s="27" t="n">
        <f aca="false">F15*Assumptions!$E28</f>
        <v>0</v>
      </c>
      <c r="G27" s="27" t="n">
        <f aca="false">G15*Assumptions!$E28</f>
        <v>0</v>
      </c>
      <c r="H27" s="27" t="n">
        <f aca="false">H15*Assumptions!$E28</f>
        <v>0</v>
      </c>
      <c r="I27" s="28" t="n">
        <f aca="false">IF(C27&lt;=0,0,(H27/C27)^(1/$H$5)-1)</f>
        <v>0</v>
      </c>
    </row>
    <row r="28" customFormat="false" ht="15" hidden="false" customHeight="false" outlineLevel="0" collapsed="false">
      <c r="B28" s="16" t="s">
        <v>50</v>
      </c>
      <c r="C28" s="17" t="n">
        <f aca="false">SUM(C20:C27)</f>
        <v>471</v>
      </c>
      <c r="D28" s="17" t="n">
        <f aca="false">SUM(D20:D27)</f>
        <v>506.7</v>
      </c>
      <c r="E28" s="17" t="n">
        <f aca="false">SUM(E20:E27)</f>
        <v>545.3112</v>
      </c>
      <c r="F28" s="17" t="n">
        <f aca="false">SUM(F20:F27)</f>
        <v>587.085948</v>
      </c>
      <c r="G28" s="17" t="n">
        <f aca="false">SUM(G20:G27)</f>
        <v>632.29952316</v>
      </c>
      <c r="H28" s="17" t="n">
        <f aca="false">SUM(H20:H27)</f>
        <v>681.252291378</v>
      </c>
      <c r="I28" s="18" t="n">
        <f aca="false">IF(C28&lt;=0,0,(H28/C28)^(1/$H$5)-1)</f>
        <v>0.0766075318601782</v>
      </c>
    </row>
    <row r="29" customFormat="false" ht="15" hidden="false" customHeight="false" outlineLevel="0" collapsed="false">
      <c r="B29" s="2" t="s">
        <v>51</v>
      </c>
      <c r="C29" s="29" t="n">
        <f aca="false">IF(C16=0,0,C28/C16)</f>
        <v>0.2355</v>
      </c>
      <c r="D29" s="29" t="n">
        <f aca="false">IF(D16=0,0,D28/D16)</f>
        <v>0.236609852906841</v>
      </c>
      <c r="E29" s="29" t="n">
        <f aca="false">IF(E16=0,0,E28/E16)</f>
        <v>0.237716607344085</v>
      </c>
      <c r="F29" s="29" t="n">
        <f aca="false">IF(F16=0,0,F28/F16)</f>
        <v>0.238819974101793</v>
      </c>
      <c r="G29" s="29" t="n">
        <f aca="false">IF(G16=0,0,G28/G16)</f>
        <v>0.239919650389368</v>
      </c>
      <c r="H29" s="29" t="n">
        <f aca="false">IF(H16=0,0,H28/H16)</f>
        <v>0.241015320580456</v>
      </c>
    </row>
    <row r="31" customFormat="false" ht="15" hidden="false" customHeight="false" outlineLevel="0" collapsed="false">
      <c r="B31" s="7" t="s">
        <v>52</v>
      </c>
      <c r="C31" s="8"/>
      <c r="D31" s="8"/>
      <c r="E31" s="8"/>
      <c r="F31" s="8"/>
      <c r="G31" s="8"/>
      <c r="H31" s="8"/>
      <c r="I31" s="8"/>
    </row>
    <row r="32" customFormat="false" ht="15" hidden="false" customHeight="false" outlineLevel="0" collapsed="false">
      <c r="B32" s="3" t="s">
        <v>47</v>
      </c>
      <c r="C32" s="30" t="n">
        <f aca="false">C16</f>
        <v>2000</v>
      </c>
      <c r="D32" s="30" t="n">
        <f aca="false">D16</f>
        <v>2141.5</v>
      </c>
      <c r="E32" s="30" t="n">
        <f aca="false">E16</f>
        <v>2293.955</v>
      </c>
      <c r="F32" s="30" t="n">
        <f aca="false">F16</f>
        <v>2458.27825</v>
      </c>
      <c r="G32" s="30" t="n">
        <f aca="false">G16</f>
        <v>2635.4636735</v>
      </c>
      <c r="H32" s="30" t="n">
        <f aca="false">H16</f>
        <v>2826.593304265</v>
      </c>
      <c r="I32" s="31" t="n">
        <f aca="false">IF(C32&lt;=0,0,(H32/C32)^(1/$H$5)-1)</f>
        <v>0.071634448875455</v>
      </c>
    </row>
    <row r="33" customFormat="false" ht="15" hidden="false" customHeight="false" outlineLevel="0" collapsed="false">
      <c r="B33" s="2" t="s">
        <v>48</v>
      </c>
      <c r="D33" s="29" t="n">
        <f aca="false">D17</f>
        <v>0.0707500000000001</v>
      </c>
      <c r="E33" s="29" t="n">
        <f aca="false">E17</f>
        <v>0.0711907541442918</v>
      </c>
      <c r="F33" s="29" t="n">
        <f aca="false">F17</f>
        <v>0.0716331619408401</v>
      </c>
      <c r="G33" s="29" t="n">
        <f aca="false">G17</f>
        <v>0.0720770415228627</v>
      </c>
      <c r="H33" s="29" t="n">
        <f aca="false">H17</f>
        <v>0.0725222027102246</v>
      </c>
    </row>
    <row r="34" customFormat="false" ht="15" hidden="false" customHeight="false" outlineLevel="0" collapsed="false">
      <c r="B34" s="3" t="s">
        <v>53</v>
      </c>
      <c r="C34" s="30" t="n">
        <f aca="false">C28</f>
        <v>471</v>
      </c>
      <c r="D34" s="30" t="n">
        <f aca="false">D28</f>
        <v>506.7</v>
      </c>
      <c r="E34" s="30" t="n">
        <f aca="false">E28</f>
        <v>545.3112</v>
      </c>
      <c r="F34" s="30" t="n">
        <f aca="false">F28</f>
        <v>587.085948</v>
      </c>
      <c r="G34" s="30" t="n">
        <f aca="false">G28</f>
        <v>632.29952316</v>
      </c>
      <c r="H34" s="30" t="n">
        <f aca="false">H28</f>
        <v>681.252291378</v>
      </c>
      <c r="I34" s="31" t="n">
        <f aca="false">IF(C34&lt;=0,0,(H34/C34)^(1/$H$5)-1)</f>
        <v>0.0766075318601782</v>
      </c>
    </row>
    <row r="35" customFormat="false" ht="15" hidden="false" customHeight="false" outlineLevel="0" collapsed="false">
      <c r="B35" s="2" t="s">
        <v>51</v>
      </c>
      <c r="C35" s="29" t="n">
        <f aca="false">C29</f>
        <v>0.2355</v>
      </c>
      <c r="D35" s="29" t="n">
        <f aca="false">D29</f>
        <v>0.236609852906841</v>
      </c>
      <c r="E35" s="29" t="n">
        <f aca="false">E29</f>
        <v>0.237716607344085</v>
      </c>
      <c r="F35" s="29" t="n">
        <f aca="false">F29</f>
        <v>0.238819974101793</v>
      </c>
      <c r="G35" s="29" t="n">
        <f aca="false">G29</f>
        <v>0.239919650389368</v>
      </c>
      <c r="H35" s="29" t="n">
        <f aca="false">H29</f>
        <v>0.241015320580456</v>
      </c>
    </row>
    <row r="37" customFormat="false" ht="15" hidden="false" customHeight="false" outlineLevel="0" collapsed="false">
      <c r="B37" s="2" t="s">
        <v>54</v>
      </c>
      <c r="C37" s="3" t="str">
        <f aca="false">IF(ABS(C32-Assumptions!$C$29)&lt;0.001,"OK","ERROR")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2026-10-13T23:04:25Z</dcterms:created>
  <dc:creator>openpyxl</dc:creator>
  <dc:description/>
  <dc:language>en-US</dc:language>
  <cp:lastModifiedBy/>
  <dcterms:modified xsi:type="dcterms:W3CDTF">2026-10-13T23:04:25Z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